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Bryan\Desktop\School stuff\CSD_1400_GAM100_Software Engineering Proj\Assteroids\Asteroids\"/>
    </mc:Choice>
  </mc:AlternateContent>
  <xr:revisionPtr revIDLastSave="0" documentId="13_ncr:1_{C719C737-5DE5-4CF3-AAB6-275091E86DB8}" xr6:coauthVersionLast="45" xr6:coauthVersionMax="45" xr10:uidLastSave="{00000000-0000-0000-0000-000000000000}"/>
  <bookViews>
    <workbookView xWindow="-108" yWindow="-108" windowWidth="23256" windowHeight="12576" activeTab="1" xr2:uid="{00000000-000D-0000-FFFF-FFFF00000000}"/>
  </bookViews>
  <sheets>
    <sheet name="Product Information" sheetId="1" r:id="rId1"/>
    <sheet name="Rubric" sheetId="8" r:id="rId2"/>
    <sheet name="Submission Guidelines" sheetId="6"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4" i="8" l="1"/>
  <c r="D78" i="8"/>
  <c r="D83" i="8"/>
  <c r="D86" i="8"/>
  <c r="D90" i="8"/>
  <c r="D93" i="8"/>
  <c r="E70" i="8" a="1"/>
  <c r="D70" i="8" a="1"/>
  <c r="E70" i="8" l="1"/>
  <c r="D70" i="8"/>
  <c r="P20" i="1"/>
  <c r="P32" i="1"/>
  <c r="E145" i="8" l="1"/>
  <c r="P19" i="1" s="1"/>
  <c r="D106" i="8" l="1"/>
  <c r="D102" i="8"/>
  <c r="D149" i="8"/>
  <c r="D140" i="8"/>
  <c r="E133" i="8" s="1"/>
  <c r="P18" i="1" s="1"/>
  <c r="D137" i="8"/>
  <c r="D128" i="8"/>
  <c r="D125" i="8"/>
  <c r="D121" i="8"/>
  <c r="D118" i="8"/>
  <c r="D114" i="8"/>
  <c r="D111" i="8"/>
  <c r="D65" i="8"/>
  <c r="D62" i="8"/>
  <c r="D58" i="8"/>
  <c r="D55" i="8"/>
  <c r="D51" i="8"/>
  <c r="D48" i="8"/>
  <c r="D43" i="8"/>
  <c r="D31" i="8"/>
  <c r="D28" i="8"/>
  <c r="E3" i="8" a="1"/>
  <c r="E36" i="8" a="1"/>
  <c r="E98" i="8" a="1"/>
  <c r="D3" i="8" a="1"/>
  <c r="D98" i="8" a="1"/>
  <c r="D36" i="8" a="1"/>
  <c r="D133" i="8" l="1"/>
  <c r="P30" i="1" s="1"/>
  <c r="D98" i="8"/>
  <c r="P29" i="1" s="1"/>
  <c r="E98" i="8"/>
  <c r="P17" i="1" s="1"/>
  <c r="E36" i="8"/>
  <c r="D36" i="8"/>
  <c r="D3" i="8"/>
  <c r="E3" i="8"/>
  <c r="P15" i="1"/>
  <c r="P28" i="1"/>
  <c r="P27" i="1"/>
  <c r="P16" i="1"/>
  <c r="D145" i="8"/>
  <c r="P31" i="1" s="1"/>
  <c r="P26" i="1"/>
  <c r="P14" i="1"/>
  <c r="I39" i="1"/>
  <c r="I29" i="1"/>
  <c r="P21" i="1" s="1"/>
  <c r="N12" i="1" a="1"/>
  <c r="N12" i="1" l="1"/>
  <c r="P33" i="1"/>
  <c r="J12" i="1" a="1"/>
  <c r="J16" i="1" a="1"/>
  <c r="J13" i="1" a="1"/>
  <c r="N24" i="1" a="1"/>
  <c r="J14" i="1" a="1"/>
  <c r="J15" i="1" a="1"/>
  <c r="J14" i="1" l="1"/>
  <c r="J15" i="1"/>
  <c r="J13" i="1"/>
  <c r="J16" i="1"/>
  <c r="J12" i="1"/>
  <c r="N2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<sst xmlns="http://schemas.openxmlformats.org/spreadsheetml/2006/main" count="289" uniqueCount="149">
  <si>
    <t>Student Comments</t>
  </si>
  <si>
    <t>Grade</t>
  </si>
  <si>
    <t>Student Grade</t>
  </si>
  <si>
    <t>Instructor Grade</t>
  </si>
  <si>
    <t>Total</t>
  </si>
  <si>
    <t>TEAM NAME</t>
  </si>
  <si>
    <t>COURSE</t>
  </si>
  <si>
    <t>TEAM ROSTER</t>
  </si>
  <si>
    <t>Degree</t>
  </si>
  <si>
    <t>Team Member</t>
  </si>
  <si>
    <t>DigiPen E-mail</t>
  </si>
  <si>
    <t>Individual Code Contribution</t>
  </si>
  <si>
    <t>Individual Final Grade</t>
  </si>
  <si>
    <t>TEAM GRADE (Instructor)</t>
  </si>
  <si>
    <t>TEAM GRADE (Students)</t>
  </si>
  <si>
    <t>Description</t>
  </si>
  <si>
    <t>About Individual Contribution</t>
  </si>
  <si>
    <t>Your individual code contribution is based on the lines of code each team member contributed. It is marked as follows:</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</si>
  <si>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</si>
  <si>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</si>
  <si>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</si>
  <si>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</si>
  <si>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</si>
  <si>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t>Contribution is about 100 lines of quality code</t>
  </si>
  <si>
    <t>Contribution is about 300 lines of quality code</t>
  </si>
  <si>
    <t>Contribution is about 500 lines of quality code</t>
  </si>
  <si>
    <t>Contribution is about 800 lines of quality code</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</si>
  <si>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</si>
  <si>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</si>
  <si>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</si>
  <si>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</si>
  <si>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No technical complexity at all.</t>
  </si>
  <si>
    <t>Low technical complexity.</t>
  </si>
  <si>
    <t>Decent technical complexity.</t>
  </si>
  <si>
    <t>Technical</t>
  </si>
  <si>
    <t>Good technical complexity.</t>
  </si>
  <si>
    <t>Very good technical complexity.</t>
  </si>
  <si>
    <t>High technical complexity.</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</si>
  <si>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</si>
  <si>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</si>
  <si>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</si>
  <si>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</si>
  <si>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</si>
  <si>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</si>
  <si>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</si>
  <si>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</si>
  <si>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</si>
  <si>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</si>
  <si>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</si>
  <si>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</si>
  <si>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</si>
  <si>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Controls are terrible.</t>
  </si>
  <si>
    <t>Controls are poor.</t>
  </si>
  <si>
    <t>Controls are decent.</t>
  </si>
  <si>
    <t>Controls are good.</t>
  </si>
  <si>
    <t>Controls are very good, intuitive and easy to use.</t>
  </si>
  <si>
    <t>Terrible overall look / content or just simple placeholder art.</t>
  </si>
  <si>
    <t>Poor overall look /content or no visual consistency at all.</t>
  </si>
  <si>
    <t>Decent overall look / content.</t>
  </si>
  <si>
    <t>Nice overall look / content.</t>
  </si>
  <si>
    <t>Great overall look / content.</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</si>
  <si>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</si>
  <si>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</si>
  <si>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</si>
  <si>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</si>
  <si>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</si>
  <si>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</si>
  <si>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</si>
  <si>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</si>
  <si>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</si>
  <si>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</si>
  <si>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</si>
  <si>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Missing public submission.</t>
  </si>
  <si>
    <t>Incorrectly named project folder.</t>
  </si>
  <si>
    <t>Swapped the Public and Archive submission files and paths.</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</si>
  <si>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</si>
  <si>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</si>
  <si>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</si>
  <si>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</si>
  <si>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</si>
  <si>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</si>
  <si>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</si>
  <si>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</si>
  <si>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</si>
  <si>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</si>
  <si>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</si>
  <si>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Contribution is less than 50 lines of code or poor quality</t>
  </si>
  <si>
    <r>
      <t xml:space="preserve">Contribution is about 1200+ lines of </t>
    </r>
    <r>
      <rPr>
        <b/>
        <sz val="11"/>
        <color theme="1"/>
        <rFont val="Calibri"/>
        <family val="2"/>
        <scheme val="minor"/>
      </rPr>
      <t>good</t>
    </r>
    <r>
      <rPr>
        <sz val="11"/>
        <color theme="1"/>
        <rFont val="Calibri"/>
        <family val="2"/>
        <scheme val="minor"/>
      </rPr>
      <t xml:space="preserve"> </t>
    </r>
    <r>
      <rPr>
        <b/>
        <sz val="11"/>
        <color theme="1"/>
        <rFont val="Calibri"/>
        <family val="2"/>
        <scheme val="minor"/>
      </rPr>
      <t>quality</t>
    </r>
    <r>
      <rPr>
        <sz val="11"/>
        <color theme="1"/>
        <rFont val="Calibri"/>
        <family val="2"/>
        <scheme val="minor"/>
      </rPr>
      <t xml:space="preserve"> code </t>
    </r>
  </si>
  <si>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</si>
  <si>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</si>
  <si>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</si>
  <si>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</si>
  <si>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</si>
  <si>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</si>
  <si>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</si>
  <si>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</si>
  <si>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</si>
  <si>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</si>
  <si>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</si>
  <si>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D</t>
  </si>
  <si>
    <t>E</t>
  </si>
  <si>
    <t>Basic number of use cases.</t>
  </si>
  <si>
    <t>Good number of use cases.</t>
  </si>
  <si>
    <t>Exceptional number of use cases.</t>
  </si>
  <si>
    <t>User Experience</t>
  </si>
  <si>
    <t>Not a working product.</t>
  </si>
  <si>
    <t>Product works but is not innovative or impressive at all. Lots of frustration in terms of usability related to design and technology.</t>
  </si>
  <si>
    <t>Product is suited for market review. Has promising features but implimentation is lacking.</t>
  </si>
  <si>
    <t>Product is ready for soft launch in the market. User Experience in design and technology is well conceived and developed. User test case have been analysed and changes made.</t>
  </si>
  <si>
    <t>Product is excellent and ready for launch as a version 1. Technology, Design and sound all come together to build a satisfying user experince.</t>
  </si>
  <si>
    <t>Product is very robust and/or has good debugging features.</t>
  </si>
  <si>
    <t>Product has good content creation tools/functionality.</t>
  </si>
  <si>
    <t>Product is innovative and/or impressive.</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</si>
  <si>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</si>
  <si>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</si>
  <si>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</si>
  <si>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</si>
  <si>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</si>
  <si>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</si>
  <si>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DigiPen Copyright - Product must display the official DigiPen copyright on the game’s credits screen (at the top or beginning of the credits--do not put this at the end of a scrolling credits sequence). The copyright is the following: All content © 2020 DigiPen Institute of Technology Singapore, all rights reserved.</t>
  </si>
  <si>
    <t>Product should compile without warnings. Every 5 warnings will cost half a letter grade.</t>
  </si>
  <si>
    <t>DigiPen Logo - Product must display the official DigiPen logo all by itself as the first screen upon launching. It must be displayed for at least 2 seconds.</t>
  </si>
  <si>
    <r>
      <t>Zip all your files into a single file, named: GAM100A_</t>
    </r>
    <r>
      <rPr>
        <b/>
        <sz val="11"/>
        <color theme="1"/>
        <rFont val="Calibri"/>
        <family val="2"/>
        <scheme val="minor"/>
      </rPr>
      <t>teamname</t>
    </r>
    <r>
      <rPr>
        <sz val="11"/>
        <color theme="1"/>
        <rFont val="Calibri"/>
        <family val="2"/>
        <scheme val="minor"/>
      </rPr>
      <t xml:space="preserve"> , CSD1400A_</t>
    </r>
    <r>
      <rPr>
        <b/>
        <sz val="11"/>
        <color theme="1"/>
        <rFont val="Calibri"/>
        <family val="2"/>
        <scheme val="minor"/>
      </rPr>
      <t xml:space="preserve">teamname, </t>
    </r>
    <r>
      <rPr>
        <sz val="11"/>
        <color theme="1"/>
        <rFont val="Calibri"/>
        <family val="2"/>
        <scheme val="minor"/>
      </rPr>
      <t>CSD1400B_</t>
    </r>
    <r>
      <rPr>
        <b/>
        <sz val="11"/>
        <color theme="1"/>
        <rFont val="Calibri"/>
        <family val="2"/>
        <scheme val="minor"/>
      </rPr>
      <t>teamname</t>
    </r>
    <r>
      <rPr>
        <sz val="11"/>
        <color theme="1"/>
        <rFont val="Calibri"/>
        <family val="2"/>
        <scheme val="minor"/>
      </rPr>
      <t>, CSD1400C_</t>
    </r>
    <r>
      <rPr>
        <b/>
        <sz val="11"/>
        <color theme="1"/>
        <rFont val="Calibri"/>
        <family val="2"/>
        <scheme val="minor"/>
      </rPr>
      <t>teamname</t>
    </r>
    <r>
      <rPr>
        <sz val="11"/>
        <color theme="1"/>
        <rFont val="Calibri"/>
        <family val="2"/>
        <scheme val="minor"/>
      </rPr>
      <t>,CSD1400D_</t>
    </r>
    <r>
      <rPr>
        <b/>
        <sz val="11"/>
        <color theme="1"/>
        <rFont val="Calibri"/>
        <family val="2"/>
        <scheme val="minor"/>
      </rPr>
      <t>teamname</t>
    </r>
    <r>
      <rPr>
        <sz val="11"/>
        <color theme="1"/>
        <rFont val="Calibri"/>
        <family val="2"/>
        <scheme val="minor"/>
      </rPr>
      <t>, based on your section and team composition.
In "teamname" use the name of your team instead of the name of your game.
Submission must be done through moodle and only one member must submit per team (only one submission in moodle per team).</t>
    </r>
  </si>
  <si>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</si>
  <si>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</si>
  <si>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</si>
  <si>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</si>
  <si>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At the absolute minimum, put your product name, team name, class name and section (CSD1400A,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</si>
  <si>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t>
    </r>
  </si>
  <si>
    <t>CSD1400/GAM100 - Project Submission Guidelines</t>
  </si>
  <si>
    <t>CSD1400/GAM 100 - PROJECT RUBRICS</t>
  </si>
  <si>
    <t>PRODUCT NAME</t>
  </si>
  <si>
    <t>\PRODUCT</t>
  </si>
  <si>
    <t>A folder that contains the productname.exe, productname_readme.txt, and all other resources required for the executable to be run from that folder.</t>
  </si>
  <si>
    <t>RTIS</t>
  </si>
  <si>
    <t>IMGD</t>
  </si>
  <si>
    <t>Lee Jia Keat</t>
  </si>
  <si>
    <t>Bryan Koh Yan Wei</t>
  </si>
  <si>
    <t xml:space="preserve">Liu Ke </t>
  </si>
  <si>
    <t>Nurul Dania Mohd Rizal</t>
  </si>
  <si>
    <t>l.jiakeat@digipen.edu</t>
  </si>
  <si>
    <t>yanweibryan.koh@digipen.edu</t>
  </si>
  <si>
    <t>ke.liu@digipen.edu</t>
  </si>
  <si>
    <t>ASTEROIDS</t>
  </si>
  <si>
    <t>CSD1400</t>
  </si>
  <si>
    <t>File System. Dynamic Memory allocation.</t>
  </si>
  <si>
    <t>Project compiles without any issues.</t>
  </si>
  <si>
    <t>Simple debug mode shows colliders of some entities.</t>
  </si>
  <si>
    <t>No obvious major flaws.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</si>
</sst>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u/>
      <sz val="11"/>
      <color theme="10"/>
      <name val="Calibri"/>
      <family val="2"/>
      <scheme val="minor"/>
    </font>
  </fonts>
  <fills count="12">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s>
  <borders count="94">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s>
  <cellStyleXfs count="2">
    <xf numFmtId="0" fontId="0" fillId="0" borderId="0"/>
    <xf numFmtId="0" fontId="13" fillId="0" borderId="0" applyNumberFormat="0" applyFill="0" applyBorder="0" applyAlignment="0" applyProtection="0"/>
  </cellStyleXfs>
  <cellXfs count="310">
    <xf numFmtId="0" fontId="0" fillId="0" borderId="0" xfId="0"/>
    <xf numFmtId="0" fontId="0" fillId="0" borderId="0" xfId="0" applyProtection="1"/>
    <xf numFmtId="0" fontId="8" fillId="7" borderId="0" xfId="0" applyFont="1" applyFill="1" applyAlignment="1" applyProtection="1">
      <alignment horizontal="left" vertical="center" wrapText="1"/>
    </xf>
    <xf numFmtId="0" fontId="7" fillId="6" borderId="39" xfId="0" applyFont="1" applyFill="1" applyBorder="1" applyAlignment="1" applyProtection="1">
      <alignment horizontal="center" vertical="center" wrapText="1"/>
    </xf>
    <xf numFmtId="0" fontId="0" fillId="0" borderId="30" xfId="0" applyBorder="1" applyAlignment="1" applyProtection="1">
      <alignment horizontal="left" vertical="center"/>
    </xf>
    <xf numFmtId="0" fontId="10" fillId="6" borderId="45" xfId="0" applyFont="1" applyFill="1" applyBorder="1" applyAlignment="1" applyProtection="1">
      <alignment horizontal="center" vertical="center" wrapText="1"/>
    </xf>
    <xf numFmtId="0" fontId="10" fillId="6" borderId="57"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58" xfId="0" applyFont="1" applyFill="1" applyBorder="1" applyAlignment="1" applyProtection="1">
      <alignment horizontal="center" vertical="center" wrapText="1"/>
    </xf>
    <xf numFmtId="0" fontId="10" fillId="6" borderId="39" xfId="0" applyFont="1" applyFill="1" applyBorder="1" applyAlignment="1" applyProtection="1">
      <alignment horizontal="center" vertical="center" wrapText="1"/>
    </xf>
    <xf numFmtId="0" fontId="4" fillId="3" borderId="61" xfId="0" applyFont="1" applyFill="1" applyBorder="1" applyAlignment="1" applyProtection="1">
      <alignment horizontal="center"/>
    </xf>
    <xf numFmtId="0" fontId="6" fillId="3" borderId="2" xfId="0" applyFont="1" applyFill="1" applyBorder="1" applyAlignment="1" applyProtection="1">
      <alignment vertical="top" wrapText="1"/>
    </xf>
    <xf numFmtId="0" fontId="6" fillId="3" borderId="60" xfId="0" applyFont="1" applyFill="1" applyBorder="1" applyAlignment="1" applyProtection="1">
      <alignment vertical="top" wrapText="1"/>
    </xf>
    <xf numFmtId="0" fontId="1" fillId="3" borderId="17"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3" fillId="3" borderId="61" xfId="0" applyFont="1" applyFill="1" applyBorder="1" applyAlignment="1" applyProtection="1">
      <alignment horizontal="center"/>
    </xf>
    <xf numFmtId="0" fontId="1" fillId="3" borderId="10" xfId="0" applyFont="1" applyFill="1" applyBorder="1" applyAlignment="1" applyProtection="1">
      <alignment horizontal="center" vertical="center"/>
    </xf>
    <xf numFmtId="0" fontId="1" fillId="3" borderId="2" xfId="0" applyFont="1" applyFill="1" applyBorder="1" applyAlignment="1" applyProtection="1">
      <alignment horizontal="center"/>
    </xf>
    <xf numFmtId="0" fontId="1" fillId="3" borderId="3" xfId="0" applyFont="1" applyFill="1" applyBorder="1" applyAlignment="1" applyProtection="1">
      <alignment vertical="center"/>
    </xf>
    <xf numFmtId="0" fontId="1" fillId="3" borderId="4" xfId="0" applyFont="1" applyFill="1" applyBorder="1" applyAlignment="1" applyProtection="1">
      <alignment vertical="center"/>
    </xf>
    <xf numFmtId="9" fontId="1" fillId="3" borderId="5" xfId="0" applyNumberFormat="1" applyFont="1" applyFill="1" applyBorder="1" applyAlignment="1" applyProtection="1">
      <alignment horizontal="center" vertical="center"/>
    </xf>
    <xf numFmtId="0" fontId="3" fillId="3" borderId="6"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0" fontId="2" fillId="2" borderId="20" xfId="0" applyFont="1" applyFill="1" applyBorder="1" applyAlignment="1" applyProtection="1">
      <alignment horizontal="center" vertical="center"/>
    </xf>
    <xf numFmtId="0" fontId="1" fillId="2" borderId="20" xfId="0" applyFont="1" applyFill="1" applyBorder="1" applyAlignment="1" applyProtection="1">
      <alignment vertical="center"/>
    </xf>
    <xf numFmtId="0" fontId="1" fillId="2" borderId="22" xfId="0" applyFont="1" applyFill="1" applyBorder="1" applyAlignment="1" applyProtection="1">
      <alignment vertical="center"/>
    </xf>
    <xf numFmtId="0" fontId="1" fillId="3" borderId="21" xfId="0" applyFont="1" applyFill="1" applyBorder="1" applyAlignment="1" applyProtection="1">
      <alignment horizontal="center" vertical="center"/>
    </xf>
    <xf numFmtId="0" fontId="1" fillId="3" borderId="23" xfId="0" applyFont="1" applyFill="1" applyBorder="1" applyAlignment="1" applyProtection="1">
      <alignment horizontal="center" vertical="center"/>
    </xf>
    <xf numFmtId="0" fontId="1" fillId="3" borderId="20" xfId="0" applyFont="1" applyFill="1" applyBorder="1" applyAlignment="1" applyProtection="1">
      <alignment horizontal="center" vertical="center"/>
    </xf>
    <xf numFmtId="0" fontId="1" fillId="3" borderId="22" xfId="0" applyFont="1" applyFill="1" applyBorder="1" applyAlignment="1" applyProtection="1">
      <alignment horizontal="center" vertical="center"/>
    </xf>
    <xf numFmtId="9" fontId="5" fillId="0" borderId="66" xfId="0" applyNumberFormat="1" applyFont="1" applyBorder="1" applyAlignment="1" applyProtection="1">
      <alignment horizontal="center" vertical="center"/>
    </xf>
    <xf numFmtId="0" fontId="0" fillId="0" borderId="67" xfId="0" applyBorder="1" applyProtection="1"/>
    <xf numFmtId="0" fontId="1" fillId="3" borderId="0" xfId="0" applyFont="1" applyFill="1" applyBorder="1" applyAlignment="1" applyProtection="1">
      <alignment horizontal="center" vertical="center"/>
    </xf>
    <xf numFmtId="0" fontId="1" fillId="3" borderId="25" xfId="0" applyFont="1" applyFill="1" applyBorder="1" applyAlignment="1" applyProtection="1">
      <alignment horizontal="center" vertical="center"/>
    </xf>
    <xf numFmtId="0" fontId="0" fillId="0" borderId="30" xfId="0" applyBorder="1" applyProtection="1"/>
    <xf numFmtId="9" fontId="5" fillId="0" borderId="31" xfId="0" applyNumberFormat="1" applyFont="1" applyBorder="1" applyAlignment="1" applyProtection="1">
      <alignment horizontal="center" vertical="center"/>
    </xf>
    <xf numFmtId="0" fontId="1" fillId="3" borderId="24" xfId="0" applyFont="1" applyFill="1" applyBorder="1" applyAlignment="1" applyProtection="1">
      <alignment horizontal="center" vertical="center"/>
    </xf>
    <xf numFmtId="9" fontId="5" fillId="0" borderId="5" xfId="0" applyNumberFormat="1" applyFont="1" applyBorder="1" applyAlignment="1" applyProtection="1">
      <alignment horizontal="center" vertical="center"/>
    </xf>
    <xf numFmtId="0" fontId="0" fillId="0" borderId="6" xfId="0" applyBorder="1" applyProtection="1"/>
    <xf numFmtId="9" fontId="5" fillId="3" borderId="81" xfId="0" applyNumberFormat="1" applyFont="1" applyFill="1" applyBorder="1" applyAlignment="1" applyProtection="1">
      <alignment horizontal="left" vertical="top"/>
    </xf>
    <xf numFmtId="0" fontId="0" fillId="3" borderId="76" xfId="0" applyFill="1" applyBorder="1" applyProtection="1"/>
    <xf numFmtId="0" fontId="4"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wrapText="1"/>
    </xf>
    <xf numFmtId="0" fontId="0" fillId="3" borderId="25" xfId="0" applyFill="1" applyBorder="1" applyAlignment="1" applyProtection="1">
      <alignment horizontal="left" vertical="top" wrapText="1"/>
    </xf>
    <xf numFmtId="0" fontId="1" fillId="3" borderId="49" xfId="0" applyFont="1" applyFill="1" applyBorder="1" applyAlignment="1" applyProtection="1">
      <alignment horizontal="center" vertical="center"/>
    </xf>
    <xf numFmtId="0" fontId="1" fillId="3" borderId="50" xfId="0" applyFont="1" applyFill="1" applyBorder="1" applyAlignment="1" applyProtection="1">
      <alignment horizontal="center" vertical="center"/>
    </xf>
    <xf numFmtId="0" fontId="0" fillId="0" borderId="7" xfId="0" applyBorder="1" applyAlignment="1" applyProtection="1">
      <alignment horizontal="left" vertical="center"/>
    </xf>
    <xf numFmtId="0" fontId="0" fillId="3" borderId="83" xfId="0" applyFill="1" applyBorder="1" applyProtection="1"/>
    <xf numFmtId="0" fontId="0" fillId="3" borderId="0" xfId="0" applyFill="1" applyBorder="1" applyProtection="1"/>
    <xf numFmtId="0" fontId="0" fillId="3" borderId="25" xfId="0" applyFill="1" applyBorder="1" applyProtection="1"/>
    <xf numFmtId="0" fontId="0" fillId="0" borderId="32" xfId="0" applyBorder="1" applyAlignment="1" applyProtection="1">
      <alignment horizontal="left" vertical="center"/>
    </xf>
    <xf numFmtId="0" fontId="5" fillId="3" borderId="83" xfId="0" applyFont="1" applyFill="1" applyBorder="1" applyProtection="1"/>
    <xf numFmtId="0" fontId="0" fillId="0" borderId="32" xfId="0" applyBorder="1" applyAlignment="1" applyProtection="1">
      <alignment vertical="center"/>
    </xf>
    <xf numFmtId="0" fontId="0" fillId="0" borderId="32" xfId="0" applyBorder="1" applyAlignment="1" applyProtection="1">
      <alignment horizontal="left" vertical="center" wrapText="1"/>
    </xf>
    <xf numFmtId="0" fontId="1" fillId="3" borderId="83" xfId="0" applyFont="1" applyFill="1" applyBorder="1" applyAlignment="1" applyProtection="1">
      <alignment horizontal="center" vertical="center"/>
    </xf>
    <xf numFmtId="0" fontId="0" fillId="0" borderId="30" xfId="0" applyBorder="1" applyAlignment="1" applyProtection="1">
      <alignment vertical="center"/>
    </xf>
    <xf numFmtId="0" fontId="0" fillId="0" borderId="30" xfId="0" applyBorder="1" applyAlignment="1" applyProtection="1">
      <alignment horizontal="left" vertical="center" wrapText="1"/>
    </xf>
    <xf numFmtId="0" fontId="0" fillId="0" borderId="30" xfId="0" applyBorder="1" applyAlignment="1" applyProtection="1">
      <alignment vertical="center" wrapText="1"/>
    </xf>
    <xf numFmtId="0" fontId="0" fillId="0" borderId="75"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31" xfId="0" applyBorder="1" applyAlignment="1" applyProtection="1">
      <alignment horizontal="center" vertical="center"/>
      <protection locked="0"/>
    </xf>
    <xf numFmtId="0" fontId="0" fillId="0" borderId="30" xfId="0" applyBorder="1" applyAlignment="1" applyProtection="1">
      <alignment horizontal="left"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7" fillId="6" borderId="87" xfId="0" applyFont="1" applyFill="1" applyBorder="1" applyAlignment="1" applyProtection="1">
      <alignment horizontal="center" vertical="center" wrapText="1"/>
    </xf>
    <xf numFmtId="0" fontId="10" fillId="6" borderId="87" xfId="0" applyFont="1" applyFill="1" applyBorder="1" applyAlignment="1" applyProtection="1">
      <alignment horizontal="center" vertical="center" wrapText="1"/>
    </xf>
    <xf numFmtId="0" fontId="10" fillId="6" borderId="93" xfId="0" applyFont="1" applyFill="1" applyBorder="1" applyAlignment="1" applyProtection="1">
      <alignment horizontal="center" vertical="center" wrapText="1"/>
    </xf>
    <xf numFmtId="0" fontId="0" fillId="0" borderId="88" xfId="0" applyFont="1" applyFill="1" applyBorder="1" applyAlignment="1" applyProtection="1">
      <alignment horizontal="center" vertical="center"/>
      <protection locked="0"/>
    </xf>
    <xf numFmtId="0" fontId="0" fillId="0" borderId="89" xfId="0" applyFont="1" applyFill="1" applyBorder="1" applyAlignment="1" applyProtection="1">
      <alignment horizontal="center" vertical="center"/>
      <protection locked="0"/>
    </xf>
    <xf numFmtId="9" fontId="5" fillId="0" borderId="31" xfId="0" applyNumberFormat="1" applyFont="1" applyBorder="1" applyAlignment="1" applyProtection="1">
      <alignment horizontal="center" vertical="center"/>
    </xf>
    <xf numFmtId="0" fontId="0" fillId="0" borderId="32" xfId="0" applyBorder="1" applyAlignment="1" applyProtection="1">
      <alignment horizontal="left" vertical="center"/>
    </xf>
    <xf numFmtId="2" fontId="5" fillId="0" borderId="5" xfId="0" applyNumberFormat="1" applyFont="1" applyBorder="1" applyAlignment="1" applyProtection="1">
      <alignment horizontal="center" vertical="center"/>
    </xf>
    <xf numFmtId="2" fontId="5" fillId="0" borderId="31" xfId="0" applyNumberFormat="1" applyFont="1" applyBorder="1" applyAlignment="1" applyProtection="1">
      <alignment horizontal="center" vertical="center"/>
    </xf>
    <xf numFmtId="0" fontId="0" fillId="0" borderId="30" xfId="0" applyBorder="1" applyAlignment="1" applyProtection="1">
      <alignment wrapText="1"/>
    </xf>
    <xf numFmtId="0" fontId="0" fillId="0" borderId="6" xfId="0" applyBorder="1" applyAlignment="1" applyProtection="1">
      <alignment wrapText="1"/>
    </xf>
    <xf numFmtId="0" fontId="5" fillId="0" borderId="31" xfId="0" applyNumberFormat="1" applyFont="1" applyBorder="1" applyAlignment="1" applyProtection="1">
      <alignment horizontal="center" vertical="center"/>
    </xf>
    <xf numFmtId="0" fontId="5" fillId="0" borderId="5" xfId="0" applyNumberFormat="1" applyFont="1" applyBorder="1" applyAlignment="1" applyProtection="1">
      <alignment horizontal="center" vertical="center"/>
    </xf>
    <xf numFmtId="0" fontId="5" fillId="0" borderId="60" xfId="0" applyNumberFormat="1" applyFont="1" applyBorder="1" applyAlignment="1" applyProtection="1">
      <alignment horizontal="center" vertical="center"/>
    </xf>
    <xf numFmtId="0" fontId="0" fillId="0" borderId="28"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10" fillId="6" borderId="57"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58" xfId="0" applyFont="1" applyFill="1" applyBorder="1" applyAlignment="1" applyProtection="1">
      <alignment horizontal="center" vertical="center" wrapText="1"/>
    </xf>
    <xf numFmtId="0" fontId="0" fillId="0" borderId="26"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34" xfId="0" applyBorder="1" applyAlignment="1" applyProtection="1">
      <alignment horizontal="center" vertical="center"/>
      <protection locked="0"/>
    </xf>
    <xf numFmtId="0" fontId="7" fillId="6" borderId="48" xfId="0" applyFont="1" applyFill="1" applyBorder="1" applyAlignment="1" applyProtection="1">
      <alignment horizontal="center" vertical="center" wrapText="1"/>
    </xf>
    <xf numFmtId="0" fontId="7" fillId="6" borderId="49" xfId="0" applyFont="1" applyFill="1" applyBorder="1" applyAlignment="1" applyProtection="1">
      <alignment horizontal="center" vertical="center" wrapText="1"/>
    </xf>
    <xf numFmtId="0" fontId="7" fillId="6" borderId="50" xfId="0" applyFont="1" applyFill="1" applyBorder="1" applyAlignment="1" applyProtection="1">
      <alignment horizontal="center" vertical="center" wrapText="1"/>
    </xf>
    <xf numFmtId="0" fontId="10" fillId="6" borderId="56" xfId="0" applyFont="1" applyFill="1" applyBorder="1" applyAlignment="1" applyProtection="1">
      <alignment horizontal="center" vertical="center" wrapText="1"/>
    </xf>
    <xf numFmtId="0" fontId="10" fillId="6" borderId="11" xfId="0" applyFont="1" applyFill="1" applyBorder="1" applyAlignment="1" applyProtection="1">
      <alignment horizontal="center" vertical="center" wrapText="1"/>
    </xf>
    <xf numFmtId="0" fontId="0" fillId="0" borderId="62" xfId="0" applyBorder="1" applyAlignment="1" applyProtection="1">
      <alignment horizontal="center" vertical="top" wrapText="1"/>
    </xf>
    <xf numFmtId="0" fontId="0" fillId="0" borderId="49" xfId="0" applyBorder="1" applyAlignment="1" applyProtection="1">
      <alignment horizontal="center" vertical="top" wrapText="1"/>
    </xf>
    <xf numFmtId="0" fontId="0" fillId="0" borderId="50" xfId="0" applyBorder="1" applyAlignment="1" applyProtection="1">
      <alignment horizontal="center" vertical="top" wrapText="1"/>
    </xf>
    <xf numFmtId="0" fontId="0" fillId="0" borderId="63" xfId="0" applyBorder="1" applyAlignment="1" applyProtection="1">
      <alignment horizontal="center" vertical="top" wrapText="1"/>
    </xf>
    <xf numFmtId="0" fontId="0" fillId="0" borderId="1" xfId="0" applyBorder="1" applyAlignment="1" applyProtection="1">
      <alignment horizontal="center" vertical="top" wrapText="1"/>
    </xf>
    <xf numFmtId="0" fontId="0" fillId="0" borderId="15" xfId="0" applyBorder="1" applyAlignment="1" applyProtection="1">
      <alignment horizontal="center" vertical="top" wrapText="1"/>
    </xf>
    <xf numFmtId="0" fontId="10" fillId="6" borderId="46" xfId="0" applyFont="1" applyFill="1" applyBorder="1" applyAlignment="1" applyProtection="1">
      <alignment horizontal="center" vertical="center" wrapText="1"/>
    </xf>
    <xf numFmtId="0" fontId="7" fillId="6" borderId="0" xfId="0" applyFont="1" applyFill="1" applyBorder="1" applyAlignment="1" applyProtection="1">
      <alignment horizontal="center" vertical="center" wrapText="1"/>
    </xf>
    <xf numFmtId="0" fontId="0" fillId="0" borderId="34" xfId="0" applyBorder="1" applyAlignment="1" applyProtection="1">
      <alignment horizontal="center"/>
    </xf>
    <xf numFmtId="0" fontId="0" fillId="0" borderId="30" xfId="0" applyBorder="1" applyAlignment="1" applyProtection="1">
      <alignment horizontal="center"/>
    </xf>
    <xf numFmtId="0" fontId="0" fillId="0" borderId="32" xfId="0" applyBorder="1" applyAlignment="1" applyProtection="1">
      <alignment horizontal="center"/>
    </xf>
    <xf numFmtId="0" fontId="1" fillId="3" borderId="56" xfId="0" applyFont="1" applyFill="1" applyBorder="1" applyAlignment="1" applyProtection="1">
      <alignment horizontal="right" vertical="center"/>
    </xf>
    <xf numFmtId="0" fontId="1" fillId="3" borderId="11" xfId="0" applyFont="1" applyFill="1" applyBorder="1" applyAlignment="1" applyProtection="1">
      <alignment horizontal="right" vertical="center"/>
    </xf>
    <xf numFmtId="0" fontId="1" fillId="3" borderId="72" xfId="0" applyFont="1" applyFill="1" applyBorder="1" applyAlignment="1" applyProtection="1">
      <alignment horizontal="right" vertical="center"/>
    </xf>
    <xf numFmtId="0" fontId="10" fillId="6" borderId="90" xfId="0" applyFont="1" applyFill="1" applyBorder="1" applyAlignment="1" applyProtection="1">
      <alignment horizontal="center" vertical="center" wrapText="1"/>
    </xf>
    <xf numFmtId="0" fontId="10" fillId="6" borderId="91" xfId="0" applyFont="1" applyFill="1" applyBorder="1" applyAlignment="1" applyProtection="1">
      <alignment horizontal="center" vertical="center" wrapText="1"/>
    </xf>
    <xf numFmtId="0" fontId="10" fillId="6" borderId="92" xfId="0" applyFont="1" applyFill="1" applyBorder="1" applyAlignment="1" applyProtection="1">
      <alignment horizontal="center" vertical="center" wrapText="1"/>
    </xf>
    <xf numFmtId="0" fontId="10" fillId="6" borderId="42" xfId="0" applyFont="1" applyFill="1" applyBorder="1" applyAlignment="1" applyProtection="1">
      <alignment horizontal="center" vertical="center" wrapText="1"/>
    </xf>
    <xf numFmtId="0" fontId="10" fillId="6" borderId="43" xfId="0" applyFont="1" applyFill="1" applyBorder="1" applyAlignment="1" applyProtection="1">
      <alignment horizontal="center" vertical="center" wrapText="1"/>
    </xf>
    <xf numFmtId="0" fontId="6" fillId="11" borderId="48" xfId="0" applyFont="1" applyFill="1" applyBorder="1" applyAlignment="1">
      <alignment horizontal="center"/>
    </xf>
    <xf numFmtId="0" fontId="6" fillId="11" borderId="49" xfId="0" applyFont="1" applyFill="1" applyBorder="1" applyAlignment="1">
      <alignment horizontal="center"/>
    </xf>
    <xf numFmtId="0" fontId="6" fillId="11" borderId="21" xfId="0" applyFont="1" applyFill="1" applyBorder="1" applyAlignment="1">
      <alignment horizontal="center"/>
    </xf>
    <xf numFmtId="0" fontId="6" fillId="11" borderId="20" xfId="0" applyFont="1" applyFill="1" applyBorder="1" applyAlignment="1">
      <alignment horizontal="center"/>
    </xf>
    <xf numFmtId="0" fontId="0" fillId="4" borderId="40" xfId="0" applyFill="1" applyBorder="1" applyAlignment="1" applyProtection="1">
      <alignment horizontal="center"/>
    </xf>
    <xf numFmtId="0" fontId="0" fillId="4" borderId="52" xfId="0" applyFill="1" applyBorder="1" applyAlignment="1" applyProtection="1">
      <alignment horizontal="center"/>
    </xf>
    <xf numFmtId="0" fontId="10" fillId="6" borderId="53" xfId="0" applyFont="1" applyFill="1" applyBorder="1" applyAlignment="1" applyProtection="1">
      <alignment horizontal="center" vertical="center" wrapText="1"/>
    </xf>
    <xf numFmtId="0" fontId="7" fillId="6" borderId="54" xfId="0" applyFont="1" applyFill="1" applyBorder="1" applyAlignment="1" applyProtection="1">
      <alignment horizontal="center" vertical="center" wrapText="1"/>
    </xf>
    <xf numFmtId="0" fontId="0" fillId="4" borderId="54" xfId="0" applyFill="1" applyBorder="1" applyAlignment="1" applyProtection="1">
      <alignment horizontal="center"/>
    </xf>
    <xf numFmtId="0" fontId="0" fillId="4" borderId="55" xfId="0" applyFill="1" applyBorder="1" applyAlignment="1" applyProtection="1">
      <alignment horizontal="center"/>
    </xf>
    <xf numFmtId="0" fontId="7" fillId="6" borderId="11" xfId="0" applyFont="1" applyFill="1" applyBorder="1" applyAlignment="1" applyProtection="1">
      <alignment horizontal="center" vertical="center" wrapText="1"/>
    </xf>
    <xf numFmtId="0" fontId="0" fillId="5" borderId="11" xfId="0" applyFill="1" applyBorder="1" applyAlignment="1" applyProtection="1">
      <alignment horizontal="center"/>
    </xf>
    <xf numFmtId="0" fontId="0" fillId="5" borderId="14" xfId="0" applyFill="1" applyBorder="1" applyAlignment="1" applyProtection="1">
      <alignment horizontal="center"/>
    </xf>
    <xf numFmtId="0" fontId="7" fillId="6" borderId="36" xfId="0" applyFont="1" applyFill="1" applyBorder="1" applyAlignment="1" applyProtection="1">
      <alignment horizontal="center" vertical="center" wrapText="1"/>
    </xf>
    <xf numFmtId="0" fontId="7" fillId="6" borderId="37" xfId="0" applyFont="1" applyFill="1" applyBorder="1" applyAlignment="1" applyProtection="1">
      <alignment horizontal="center" vertical="center" wrapText="1"/>
    </xf>
    <xf numFmtId="0" fontId="7" fillId="6" borderId="38" xfId="0" applyFont="1" applyFill="1" applyBorder="1" applyAlignment="1" applyProtection="1">
      <alignment horizontal="center" vertical="center" wrapText="1"/>
    </xf>
    <xf numFmtId="0" fontId="9" fillId="9" borderId="39" xfId="0" applyFont="1" applyFill="1" applyBorder="1" applyAlignment="1" applyProtection="1">
      <alignment horizontal="center" vertical="center" wrapText="1"/>
    </xf>
    <xf numFmtId="0" fontId="9" fillId="9" borderId="40" xfId="0" applyFont="1" applyFill="1" applyBorder="1" applyAlignment="1" applyProtection="1">
      <alignment horizontal="center" vertical="center" wrapText="1"/>
    </xf>
    <xf numFmtId="0" fontId="9" fillId="9" borderId="41" xfId="0" applyFont="1" applyFill="1" applyBorder="1" applyAlignment="1" applyProtection="1">
      <alignment horizontal="center" vertical="center" wrapText="1"/>
    </xf>
    <xf numFmtId="0" fontId="9" fillId="9" borderId="46" xfId="0" applyFont="1" applyFill="1" applyBorder="1" applyAlignment="1" applyProtection="1">
      <alignment horizontal="center" vertical="center" wrapText="1"/>
    </xf>
    <xf numFmtId="0" fontId="9" fillId="9" borderId="0" xfId="0" applyFont="1" applyFill="1" applyBorder="1" applyAlignment="1" applyProtection="1">
      <alignment horizontal="center" vertical="center" wrapText="1"/>
    </xf>
    <xf numFmtId="0" fontId="9" fillId="9" borderId="47" xfId="0" applyFont="1" applyFill="1" applyBorder="1" applyAlignment="1" applyProtection="1">
      <alignment horizontal="center" vertical="center" wrapText="1"/>
    </xf>
    <xf numFmtId="0" fontId="10" fillId="6" borderId="48" xfId="0" applyFont="1" applyFill="1" applyBorder="1" applyAlignment="1" applyProtection="1">
      <alignment horizontal="center" vertical="center" wrapText="1"/>
    </xf>
    <xf numFmtId="0" fontId="0" fillId="4" borderId="49" xfId="0" applyFill="1" applyBorder="1" applyAlignment="1" applyProtection="1">
      <alignment horizontal="center"/>
    </xf>
    <xf numFmtId="0" fontId="0" fillId="4" borderId="50" xfId="0" applyFill="1" applyBorder="1" applyAlignment="1" applyProtection="1">
      <alignment horizontal="center"/>
    </xf>
    <xf numFmtId="0" fontId="10" fillId="6" borderId="51" xfId="0" applyFont="1" applyFill="1" applyBorder="1" applyAlignment="1" applyProtection="1">
      <alignment horizontal="center" vertical="center" wrapText="1"/>
    </xf>
    <xf numFmtId="0" fontId="7" fillId="6" borderId="40" xfId="0" applyFont="1" applyFill="1" applyBorder="1" applyAlignment="1" applyProtection="1">
      <alignment horizontal="center" vertical="center" wrapText="1"/>
    </xf>
    <xf numFmtId="0" fontId="7" fillId="6" borderId="39" xfId="0" applyFont="1" applyFill="1" applyBorder="1" applyAlignment="1" applyProtection="1">
      <alignment horizontal="center" vertical="center" wrapText="1"/>
    </xf>
    <xf numFmtId="0" fontId="7" fillId="6" borderId="52" xfId="0" applyFont="1" applyFill="1" applyBorder="1" applyAlignment="1" applyProtection="1">
      <alignment horizontal="center" vertical="center" wrapText="1"/>
    </xf>
    <xf numFmtId="0" fontId="5" fillId="8" borderId="2" xfId="0" applyFont="1" applyFill="1" applyBorder="1" applyAlignment="1" applyProtection="1">
      <alignment horizontal="center" vertical="center"/>
    </xf>
    <xf numFmtId="0" fontId="5" fillId="8" borderId="4" xfId="0" applyFont="1" applyFill="1" applyBorder="1" applyAlignment="1" applyProtection="1">
      <alignment horizontal="center" vertical="center"/>
    </xf>
    <xf numFmtId="0" fontId="9" fillId="8" borderId="39" xfId="0" applyFont="1" applyFill="1" applyBorder="1" applyAlignment="1" applyProtection="1">
      <alignment horizontal="center" vertical="center" wrapText="1"/>
    </xf>
    <xf numFmtId="0" fontId="9" fillId="8" borderId="40" xfId="0" applyFont="1" applyFill="1" applyBorder="1" applyAlignment="1" applyProtection="1">
      <alignment horizontal="center" vertical="center" wrapText="1"/>
    </xf>
    <xf numFmtId="0" fontId="9" fillId="8" borderId="41" xfId="0" applyFont="1" applyFill="1" applyBorder="1" applyAlignment="1" applyProtection="1">
      <alignment horizontal="center" vertical="center" wrapText="1"/>
    </xf>
    <xf numFmtId="0" fontId="9" fillId="8" borderId="46"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47" xfId="0" applyFont="1" applyFill="1" applyBorder="1" applyAlignment="1" applyProtection="1">
      <alignment horizontal="center" vertical="center" wrapText="1"/>
    </xf>
    <xf numFmtId="0" fontId="0" fillId="5" borderId="49" xfId="0" applyFill="1" applyBorder="1" applyAlignment="1" applyProtection="1">
      <alignment horizontal="center"/>
    </xf>
    <xf numFmtId="0" fontId="0" fillId="5" borderId="50" xfId="0" applyFill="1" applyBorder="1" applyAlignment="1" applyProtection="1">
      <alignment horizontal="center"/>
    </xf>
    <xf numFmtId="0" fontId="0" fillId="0" borderId="30"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13" fillId="0" borderId="30" xfId="1" applyFill="1" applyBorder="1" applyAlignment="1" applyProtection="1">
      <alignment horizontal="left" vertical="center"/>
      <protection locked="0"/>
    </xf>
    <xf numFmtId="0" fontId="0" fillId="0" borderId="30" xfId="0" applyFill="1" applyBorder="1" applyAlignment="1" applyProtection="1">
      <alignment horizontal="left" vertical="center"/>
      <protection locked="0"/>
    </xf>
    <xf numFmtId="0" fontId="0" fillId="5" borderId="40" xfId="0" applyFill="1" applyBorder="1" applyAlignment="1" applyProtection="1">
      <alignment horizontal="center"/>
    </xf>
    <xf numFmtId="0" fontId="0" fillId="5" borderId="52" xfId="0" applyFill="1" applyBorder="1" applyAlignment="1" applyProtection="1">
      <alignment horizontal="center"/>
    </xf>
    <xf numFmtId="0" fontId="0" fillId="5" borderId="54" xfId="0" applyFill="1" applyBorder="1" applyAlignment="1" applyProtection="1">
      <alignment horizontal="center"/>
    </xf>
    <xf numFmtId="0" fontId="0" fillId="5" borderId="55" xfId="0" applyFill="1" applyBorder="1" applyAlignment="1" applyProtection="1">
      <alignment horizontal="center"/>
    </xf>
    <xf numFmtId="0" fontId="0" fillId="11" borderId="50" xfId="0" applyFill="1" applyBorder="1" applyAlignment="1" applyProtection="1">
      <alignment horizontal="center" vertical="center"/>
      <protection locked="0"/>
    </xf>
    <xf numFmtId="0" fontId="0" fillId="11" borderId="22" xfId="0" applyFill="1" applyBorder="1" applyAlignment="1" applyProtection="1">
      <alignment horizontal="center" vertical="center"/>
      <protection locked="0"/>
    </xf>
    <xf numFmtId="0" fontId="0" fillId="0" borderId="31" xfId="0" applyBorder="1" applyAlignment="1" applyProtection="1">
      <alignment horizontal="center"/>
      <protection locked="0"/>
    </xf>
    <xf numFmtId="0" fontId="0" fillId="0" borderId="30"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6" xfId="0" applyBorder="1" applyAlignment="1" applyProtection="1">
      <alignment horizontal="center"/>
      <protection locked="0"/>
    </xf>
    <xf numFmtId="0" fontId="2" fillId="3" borderId="48" xfId="0" applyFont="1" applyFill="1" applyBorder="1" applyAlignment="1" applyProtection="1">
      <alignment horizontal="center" vertical="center"/>
    </xf>
    <xf numFmtId="0" fontId="2" fillId="3" borderId="49" xfId="0" applyFont="1" applyFill="1" applyBorder="1" applyAlignment="1" applyProtection="1">
      <alignment horizontal="center" vertical="center"/>
    </xf>
    <xf numFmtId="0" fontId="2" fillId="3" borderId="50"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Border="1" applyAlignment="1" applyProtection="1">
      <alignment horizontal="center"/>
      <protection locked="0"/>
    </xf>
    <xf numFmtId="0" fontId="10" fillId="6" borderId="36" xfId="0" applyFont="1" applyFill="1" applyBorder="1" applyAlignment="1" applyProtection="1">
      <alignment horizontal="center" vertical="center" wrapText="1"/>
    </xf>
    <xf numFmtId="0" fontId="12" fillId="7" borderId="39" xfId="0" applyFont="1" applyFill="1" applyBorder="1" applyAlignment="1" applyProtection="1">
      <alignment horizontal="center" vertical="center" wrapText="1"/>
      <protection locked="0"/>
    </xf>
    <xf numFmtId="0" fontId="12" fillId="7" borderId="40" xfId="0" applyFont="1" applyFill="1" applyBorder="1" applyAlignment="1" applyProtection="1">
      <alignment horizontal="center" vertical="center" wrapText="1"/>
      <protection locked="0"/>
    </xf>
    <xf numFmtId="0" fontId="12" fillId="7" borderId="41" xfId="0" applyFont="1" applyFill="1" applyBorder="1" applyAlignment="1" applyProtection="1">
      <alignment horizontal="center" vertical="center" wrapText="1"/>
      <protection locked="0"/>
    </xf>
    <xf numFmtId="0" fontId="12" fillId="7" borderId="42" xfId="0" applyFont="1" applyFill="1" applyBorder="1" applyAlignment="1" applyProtection="1">
      <alignment horizontal="center" vertical="center" wrapText="1"/>
      <protection locked="0"/>
    </xf>
    <xf numFmtId="0" fontId="12" fillId="7" borderId="43" xfId="0" applyFont="1" applyFill="1" applyBorder="1" applyAlignment="1" applyProtection="1">
      <alignment horizontal="center" vertical="center" wrapText="1"/>
      <protection locked="0"/>
    </xf>
    <xf numFmtId="0" fontId="12" fillId="7" borderId="44" xfId="0" applyFont="1" applyFill="1" applyBorder="1" applyAlignment="1" applyProtection="1">
      <alignment horizontal="center" vertical="center" wrapText="1"/>
      <protection locked="0"/>
    </xf>
    <xf numFmtId="0" fontId="0" fillId="0" borderId="6" xfId="0" applyFill="1" applyBorder="1" applyAlignment="1" applyProtection="1">
      <alignment horizontal="left" vertical="center"/>
      <protection locked="0"/>
    </xf>
    <xf numFmtId="0" fontId="0" fillId="4" borderId="11" xfId="0" applyFill="1" applyBorder="1" applyAlignment="1" applyProtection="1">
      <alignment horizontal="center"/>
    </xf>
    <xf numFmtId="0" fontId="0" fillId="4" borderId="14" xfId="0" applyFill="1" applyBorder="1" applyAlignment="1" applyProtection="1">
      <alignment horizontal="center"/>
    </xf>
    <xf numFmtId="0" fontId="0" fillId="0" borderId="3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10" fillId="6" borderId="26" xfId="0" applyFont="1" applyFill="1" applyBorder="1" applyAlignment="1" applyProtection="1">
      <alignment horizontal="center" vertical="center" wrapText="1"/>
    </xf>
    <xf numFmtId="0" fontId="10" fillId="6" borderId="18" xfId="0" applyFont="1" applyFill="1" applyBorder="1" applyAlignment="1" applyProtection="1">
      <alignment horizontal="center" vertical="center" wrapText="1"/>
    </xf>
    <xf numFmtId="0" fontId="10" fillId="6" borderId="19" xfId="0" applyFont="1" applyFill="1" applyBorder="1" applyAlignment="1" applyProtection="1">
      <alignment horizontal="center" vertical="center" wrapText="1"/>
    </xf>
    <xf numFmtId="0" fontId="2" fillId="3" borderId="62" xfId="0" applyFont="1" applyFill="1" applyBorder="1" applyAlignment="1" applyProtection="1">
      <alignment horizontal="center" vertical="center"/>
    </xf>
    <xf numFmtId="0" fontId="2" fillId="3" borderId="73" xfId="0" applyFont="1" applyFill="1" applyBorder="1" applyAlignment="1" applyProtection="1">
      <alignment horizontal="center" vertical="center"/>
    </xf>
    <xf numFmtId="0" fontId="0" fillId="9" borderId="24" xfId="0" applyFill="1" applyBorder="1" applyAlignment="1" applyProtection="1">
      <alignment horizontal="center" vertical="center" wrapText="1"/>
      <protection locked="0"/>
    </xf>
    <xf numFmtId="0" fontId="0" fillId="9" borderId="8" xfId="0" applyFill="1" applyBorder="1" applyAlignment="1" applyProtection="1">
      <alignment horizontal="center" vertical="center" wrapText="1"/>
      <protection locked="0"/>
    </xf>
    <xf numFmtId="0" fontId="0" fillId="10" borderId="80" xfId="0" applyFill="1" applyBorder="1" applyAlignment="1" applyProtection="1">
      <alignment horizontal="center" vertical="center" wrapText="1"/>
      <protection locked="0"/>
    </xf>
    <xf numFmtId="0" fontId="0" fillId="10" borderId="24" xfId="0" applyFill="1" applyBorder="1" applyAlignment="1" applyProtection="1">
      <alignment horizontal="center" vertical="center" wrapText="1"/>
      <protection locked="0"/>
    </xf>
    <xf numFmtId="0" fontId="0" fillId="4" borderId="25" xfId="0" applyFill="1" applyBorder="1" applyAlignment="1" applyProtection="1">
      <alignment horizontal="left" vertical="top" wrapText="1"/>
      <protection locked="0"/>
    </xf>
    <xf numFmtId="0" fontId="0" fillId="4" borderId="15" xfId="0" applyFill="1" applyBorder="1" applyAlignment="1" applyProtection="1">
      <alignment horizontal="left" vertical="top" wrapText="1"/>
      <protection locked="0"/>
    </xf>
    <xf numFmtId="0" fontId="0" fillId="5" borderId="79" xfId="0" applyFill="1" applyBorder="1" applyAlignment="1" applyProtection="1">
      <alignment horizontal="left" vertical="top" wrapText="1"/>
      <protection locked="0"/>
    </xf>
    <xf numFmtId="0" fontId="0" fillId="5" borderId="25" xfId="0" applyFill="1" applyBorder="1" applyAlignment="1" applyProtection="1">
      <alignment horizontal="left" vertical="top" wrapText="1"/>
      <protection locked="0"/>
    </xf>
    <xf numFmtId="0" fontId="4" fillId="3" borderId="77" xfId="0" applyFont="1" applyFill="1" applyBorder="1" applyAlignment="1" applyProtection="1">
      <alignment horizontal="center" vertical="center"/>
    </xf>
    <xf numFmtId="0" fontId="4" fillId="3" borderId="78" xfId="0" applyFont="1" applyFill="1" applyBorder="1" applyAlignment="1" applyProtection="1">
      <alignment horizontal="center" vertical="center"/>
    </xf>
    <xf numFmtId="0" fontId="3" fillId="3" borderId="78" xfId="0" applyFont="1" applyFill="1" applyBorder="1" applyAlignment="1" applyProtection="1">
      <alignment horizontal="center" vertical="center"/>
    </xf>
    <xf numFmtId="0" fontId="3" fillId="3" borderId="73" xfId="0" applyFont="1" applyFill="1" applyBorder="1" applyAlignment="1" applyProtection="1">
      <alignment horizontal="center" vertical="center"/>
    </xf>
    <xf numFmtId="0" fontId="0" fillId="9" borderId="29" xfId="0" applyFill="1" applyBorder="1" applyAlignment="1" applyProtection="1">
      <alignment horizontal="center" vertical="center" wrapText="1"/>
      <protection locked="0"/>
    </xf>
    <xf numFmtId="0" fontId="0" fillId="10" borderId="23" xfId="0" applyFill="1" applyBorder="1" applyAlignment="1" applyProtection="1">
      <alignment horizontal="center" vertical="center" wrapText="1"/>
      <protection locked="0"/>
    </xf>
    <xf numFmtId="0" fontId="0" fillId="4" borderId="79" xfId="0" applyFill="1" applyBorder="1" applyAlignment="1" applyProtection="1">
      <alignment horizontal="left" vertical="top" wrapText="1"/>
      <protection locked="0"/>
    </xf>
    <xf numFmtId="0" fontId="0" fillId="5" borderId="22" xfId="0" applyFill="1" applyBorder="1" applyAlignment="1" applyProtection="1">
      <alignment horizontal="left" vertical="top" wrapText="1"/>
      <protection locked="0"/>
    </xf>
    <xf numFmtId="0" fontId="4" fillId="3" borderId="82" xfId="0" applyFont="1" applyFill="1" applyBorder="1" applyAlignment="1" applyProtection="1">
      <alignment horizontal="center" vertical="center"/>
    </xf>
    <xf numFmtId="0" fontId="4" fillId="3" borderId="20" xfId="0" applyFont="1" applyFill="1" applyBorder="1" applyAlignment="1" applyProtection="1">
      <alignment horizontal="center" vertical="center"/>
    </xf>
    <xf numFmtId="2" fontId="5" fillId="0" borderId="2" xfId="0" applyNumberFormat="1" applyFont="1" applyBorder="1" applyAlignment="1" applyProtection="1">
      <alignment horizontal="center" vertical="center"/>
    </xf>
    <xf numFmtId="2" fontId="5" fillId="0" borderId="31" xfId="0" applyNumberFormat="1" applyFont="1" applyBorder="1" applyAlignment="1" applyProtection="1">
      <alignment horizontal="center" vertical="center"/>
    </xf>
    <xf numFmtId="0" fontId="0" fillId="0" borderId="4" xfId="0" applyBorder="1" applyAlignment="1" applyProtection="1">
      <alignment horizontal="left" vertical="center"/>
    </xf>
    <xf numFmtId="0" fontId="0" fillId="0" borderId="32" xfId="0" applyBorder="1" applyAlignment="1" applyProtection="1">
      <alignment horizontal="left" vertical="center"/>
    </xf>
    <xf numFmtId="0" fontId="3" fillId="3" borderId="82"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2" fontId="5" fillId="0" borderId="5" xfId="0" applyNumberFormat="1" applyFont="1" applyBorder="1" applyAlignment="1" applyProtection="1">
      <alignment horizontal="center" vertical="center"/>
    </xf>
    <xf numFmtId="0" fontId="0" fillId="0" borderId="30" xfId="0" applyBorder="1" applyAlignment="1" applyProtection="1">
      <alignment horizontal="left" vertical="center"/>
    </xf>
    <xf numFmtId="0" fontId="0" fillId="0" borderId="6" xfId="0" applyBorder="1" applyAlignment="1" applyProtection="1">
      <alignment horizontal="left" vertical="center"/>
    </xf>
    <xf numFmtId="0" fontId="3" fillId="3" borderId="77" xfId="0" applyFont="1" applyFill="1" applyBorder="1" applyAlignment="1" applyProtection="1">
      <alignment horizontal="center" vertical="center"/>
    </xf>
    <xf numFmtId="0" fontId="4" fillId="3" borderId="73" xfId="0" applyFont="1" applyFill="1" applyBorder="1" applyAlignment="1" applyProtection="1">
      <alignment horizontal="center" vertical="center"/>
    </xf>
    <xf numFmtId="9" fontId="5" fillId="0" borderId="69" xfId="0" applyNumberFormat="1" applyFont="1" applyBorder="1" applyAlignment="1" applyProtection="1">
      <alignment horizontal="center" vertical="center"/>
    </xf>
    <xf numFmtId="9" fontId="5" fillId="0" borderId="66" xfId="0" applyNumberFormat="1" applyFont="1" applyBorder="1" applyAlignment="1" applyProtection="1">
      <alignment horizontal="center" vertical="center"/>
    </xf>
    <xf numFmtId="0" fontId="0" fillId="0" borderId="70" xfId="0" applyBorder="1" applyAlignment="1" applyProtection="1">
      <alignment horizontal="left" vertical="center"/>
    </xf>
    <xf numFmtId="0" fontId="0" fillId="0" borderId="67" xfId="0" applyBorder="1" applyAlignment="1" applyProtection="1">
      <alignment horizontal="left" vertical="center"/>
    </xf>
    <xf numFmtId="0" fontId="0" fillId="0" borderId="30" xfId="0" applyBorder="1" applyAlignment="1" applyProtection="1">
      <alignment horizontal="left" vertical="center" wrapText="1"/>
    </xf>
    <xf numFmtId="0" fontId="0" fillId="0" borderId="70" xfId="0" applyBorder="1" applyAlignment="1" applyProtection="1">
      <alignment horizontal="left" vertical="center" wrapText="1"/>
    </xf>
    <xf numFmtId="0" fontId="0" fillId="0" borderId="67" xfId="0" applyBorder="1" applyAlignment="1" applyProtection="1">
      <alignment horizontal="left" vertical="center" wrapText="1"/>
    </xf>
    <xf numFmtId="0" fontId="3" fillId="3" borderId="59" xfId="0" applyFont="1" applyFill="1" applyBorder="1" applyAlignment="1" applyProtection="1">
      <alignment horizontal="center" vertical="center"/>
    </xf>
    <xf numFmtId="0" fontId="3" fillId="3" borderId="86" xfId="0" applyFont="1" applyFill="1" applyBorder="1" applyAlignment="1" applyProtection="1">
      <alignment horizontal="center" vertical="center"/>
    </xf>
    <xf numFmtId="0" fontId="3" fillId="3" borderId="85" xfId="0" applyFont="1" applyFill="1" applyBorder="1" applyAlignment="1" applyProtection="1">
      <alignment horizontal="center" vertical="center"/>
    </xf>
    <xf numFmtId="0" fontId="0" fillId="4" borderId="80" xfId="0" applyFill="1" applyBorder="1" applyAlignment="1" applyProtection="1">
      <alignment horizontal="left" vertical="top" wrapText="1"/>
      <protection locked="0"/>
    </xf>
    <xf numFmtId="0" fontId="0" fillId="4" borderId="24" xfId="0" applyFill="1" applyBorder="1" applyAlignment="1" applyProtection="1">
      <alignment horizontal="left" vertical="top" wrapText="1"/>
      <protection locked="0"/>
    </xf>
    <xf numFmtId="0" fontId="0" fillId="4" borderId="8" xfId="0" applyFill="1" applyBorder="1" applyAlignment="1" applyProtection="1">
      <alignment horizontal="left" vertical="top" wrapText="1"/>
      <protection locked="0"/>
    </xf>
    <xf numFmtId="2" fontId="5" fillId="0" borderId="60" xfId="0" applyNumberFormat="1" applyFont="1" applyBorder="1" applyAlignment="1" applyProtection="1">
      <alignment horizontal="center" vertical="center"/>
    </xf>
    <xf numFmtId="2" fontId="5" fillId="0" borderId="81" xfId="0" applyNumberFormat="1" applyFont="1" applyBorder="1" applyAlignment="1" applyProtection="1">
      <alignment horizontal="center" vertical="center"/>
    </xf>
    <xf numFmtId="2" fontId="5" fillId="0" borderId="84" xfId="0" applyNumberFormat="1" applyFont="1" applyBorder="1" applyAlignment="1" applyProtection="1">
      <alignment horizontal="center" vertical="center"/>
    </xf>
    <xf numFmtId="0" fontId="0" fillId="0" borderId="75" xfId="0" applyBorder="1" applyAlignment="1" applyProtection="1">
      <alignment horizontal="left" vertical="center"/>
    </xf>
    <xf numFmtId="0" fontId="0" fillId="0" borderId="76" xfId="0" applyBorder="1" applyAlignment="1" applyProtection="1">
      <alignment horizontal="left" vertical="center"/>
    </xf>
    <xf numFmtId="0" fontId="0" fillId="0" borderId="74" xfId="0" applyBorder="1" applyAlignment="1" applyProtection="1">
      <alignment horizontal="left" vertical="center"/>
    </xf>
    <xf numFmtId="0" fontId="2" fillId="3" borderId="70" xfId="0" applyFont="1" applyFill="1" applyBorder="1" applyAlignment="1" applyProtection="1">
      <alignment horizontal="center" vertical="center"/>
    </xf>
    <xf numFmtId="0" fontId="2" fillId="3" borderId="74" xfId="0" applyFont="1" applyFill="1" applyBorder="1" applyAlignment="1" applyProtection="1">
      <alignment horizontal="center" vertical="center"/>
    </xf>
    <xf numFmtId="0" fontId="4" fillId="3" borderId="80" xfId="0" applyFont="1" applyFill="1" applyBorder="1" applyAlignment="1" applyProtection="1">
      <alignment horizontal="center" vertical="center"/>
    </xf>
    <xf numFmtId="0" fontId="4" fillId="3" borderId="23" xfId="0" applyFont="1" applyFill="1" applyBorder="1" applyAlignment="1" applyProtection="1">
      <alignment horizontal="center" vertical="center"/>
    </xf>
    <xf numFmtId="0" fontId="0" fillId="5" borderId="80" xfId="0" applyFill="1" applyBorder="1" applyAlignment="1" applyProtection="1">
      <alignment horizontal="left" vertical="top" wrapText="1"/>
      <protection locked="0"/>
    </xf>
    <xf numFmtId="0" fontId="0" fillId="5" borderId="23" xfId="0" applyFill="1" applyBorder="1" applyAlignment="1" applyProtection="1">
      <alignment horizontal="left" vertical="top" wrapText="1"/>
      <protection locked="0"/>
    </xf>
    <xf numFmtId="0" fontId="5" fillId="0" borderId="69" xfId="0" applyNumberFormat="1" applyFont="1" applyBorder="1" applyAlignment="1" applyProtection="1">
      <alignment horizontal="center" vertical="center"/>
    </xf>
    <xf numFmtId="0" fontId="5" fillId="0" borderId="66" xfId="0" applyNumberFormat="1" applyFont="1" applyBorder="1" applyAlignment="1" applyProtection="1">
      <alignment horizontal="center" vertical="center"/>
    </xf>
    <xf numFmtId="0" fontId="0" fillId="0" borderId="71" xfId="0" applyBorder="1" applyAlignment="1" applyProtection="1">
      <alignment horizontal="left" vertical="center"/>
    </xf>
    <xf numFmtId="0" fontId="0" fillId="0" borderId="68" xfId="0" applyBorder="1" applyAlignment="1" applyProtection="1">
      <alignment horizontal="left" vertical="center"/>
    </xf>
    <xf numFmtId="0" fontId="4" fillId="3" borderId="59" xfId="0" applyFont="1" applyFill="1" applyBorder="1" applyAlignment="1" applyProtection="1">
      <alignment horizontal="center" vertical="center"/>
    </xf>
    <xf numFmtId="0" fontId="4" fillId="3" borderId="86" xfId="0" applyFont="1" applyFill="1" applyBorder="1" applyAlignment="1" applyProtection="1">
      <alignment horizontal="center" vertical="center"/>
    </xf>
    <xf numFmtId="0" fontId="4" fillId="3" borderId="85" xfId="0" applyFont="1" applyFill="1" applyBorder="1" applyAlignment="1" applyProtection="1">
      <alignment horizontal="center" vertical="center"/>
    </xf>
    <xf numFmtId="0" fontId="0" fillId="5" borderId="24" xfId="0" applyFill="1" applyBorder="1" applyAlignment="1" applyProtection="1">
      <alignment horizontal="left" vertical="top" wrapText="1"/>
      <protection locked="0"/>
    </xf>
    <xf numFmtId="9" fontId="5" fillId="0" borderId="60" xfId="0" applyNumberFormat="1" applyFont="1" applyBorder="1" applyAlignment="1" applyProtection="1">
      <alignment horizontal="center" vertical="center"/>
    </xf>
    <xf numFmtId="0" fontId="3" fillId="3" borderId="80" xfId="0" applyFont="1" applyFill="1" applyBorder="1" applyAlignment="1" applyProtection="1">
      <alignment horizontal="center" vertical="center"/>
    </xf>
    <xf numFmtId="0" fontId="3" fillId="3" borderId="24" xfId="0" applyFont="1" applyFill="1" applyBorder="1" applyAlignment="1" applyProtection="1">
      <alignment horizontal="center" vertical="center"/>
    </xf>
    <xf numFmtId="0" fontId="5" fillId="0" borderId="2" xfId="0" applyNumberFormat="1" applyFont="1" applyBorder="1" applyAlignment="1" applyProtection="1">
      <alignment horizontal="center" vertical="center"/>
    </xf>
    <xf numFmtId="0" fontId="5" fillId="0" borderId="31" xfId="0" applyNumberFormat="1" applyFont="1" applyBorder="1" applyAlignment="1" applyProtection="1">
      <alignment horizontal="center" vertical="center"/>
    </xf>
    <xf numFmtId="0" fontId="5" fillId="0" borderId="60" xfId="0" applyNumberFormat="1" applyFont="1" applyBorder="1" applyAlignment="1" applyProtection="1">
      <alignment horizontal="center" vertical="center"/>
    </xf>
    <xf numFmtId="0" fontId="5" fillId="0" borderId="81" xfId="0" applyNumberFormat="1" applyFont="1" applyBorder="1" applyAlignment="1" applyProtection="1">
      <alignment horizontal="center" vertical="center"/>
    </xf>
    <xf numFmtId="0" fontId="5" fillId="0" borderId="84" xfId="0" applyNumberFormat="1" applyFont="1" applyBorder="1" applyAlignment="1" applyProtection="1">
      <alignment horizontal="center" vertical="center"/>
    </xf>
    <xf numFmtId="0" fontId="0" fillId="5" borderId="80" xfId="0" applyFill="1" applyBorder="1" applyAlignment="1" applyProtection="1">
      <alignment horizontal="center" vertical="top" wrapText="1"/>
      <protection locked="0"/>
    </xf>
    <xf numFmtId="0" fontId="0" fillId="5" borderId="24" xfId="0" applyFill="1" applyBorder="1" applyAlignment="1" applyProtection="1">
      <alignment horizontal="center" vertical="top" wrapText="1"/>
      <protection locked="0"/>
    </xf>
    <xf numFmtId="0" fontId="0" fillId="5" borderId="23" xfId="0" applyFill="1" applyBorder="1" applyAlignment="1" applyProtection="1">
      <alignment horizontal="center" vertical="top" wrapText="1"/>
      <protection locked="0"/>
    </xf>
    <xf numFmtId="0" fontId="0" fillId="9" borderId="49" xfId="0" applyFill="1" applyBorder="1" applyAlignment="1" applyProtection="1">
      <alignment horizontal="center" vertical="center" wrapText="1"/>
      <protection locked="0"/>
    </xf>
    <xf numFmtId="0" fontId="0" fillId="9" borderId="0" xfId="0" applyFill="1" applyBorder="1" applyAlignment="1" applyProtection="1">
      <alignment horizontal="center" vertical="center" wrapText="1"/>
      <protection locked="0"/>
    </xf>
    <xf numFmtId="0" fontId="0" fillId="4" borderId="79" xfId="0" applyFill="1" applyBorder="1" applyAlignment="1" applyProtection="1">
      <alignment horizontal="center" vertical="top" wrapText="1"/>
      <protection locked="0"/>
    </xf>
    <xf numFmtId="0" fontId="0" fillId="4" borderId="25" xfId="0" applyFill="1" applyBorder="1" applyAlignment="1" applyProtection="1">
      <alignment horizontal="center" vertical="top" wrapText="1"/>
      <protection locked="0"/>
    </xf>
    <xf numFmtId="0" fontId="6" fillId="2" borderId="31" xfId="0" applyFont="1" applyFill="1" applyBorder="1" applyAlignment="1" applyProtection="1">
      <alignment horizontal="left" vertical="center" wrapText="1"/>
    </xf>
    <xf numFmtId="0" fontId="6" fillId="2" borderId="30" xfId="0" applyFont="1" applyFill="1" applyBorder="1" applyAlignment="1" applyProtection="1">
      <alignment horizontal="left" vertical="center" wrapText="1"/>
    </xf>
    <xf numFmtId="0" fontId="0" fillId="0" borderId="30" xfId="0" applyBorder="1" applyAlignment="1" applyProtection="1">
      <alignment horizontal="left" vertical="top" wrapText="1"/>
    </xf>
    <xf numFmtId="0" fontId="0" fillId="0" borderId="32" xfId="0" applyBorder="1" applyAlignment="1" applyProtection="1">
      <alignment horizontal="left" vertical="top" wrapText="1"/>
    </xf>
    <xf numFmtId="0" fontId="6" fillId="2" borderId="5" xfId="0" applyFont="1" applyFill="1" applyBorder="1" applyAlignment="1" applyProtection="1">
      <alignment horizontal="left" vertical="center" wrapText="1"/>
    </xf>
    <xf numFmtId="0" fontId="6" fillId="2" borderId="6" xfId="0" applyFont="1" applyFill="1" applyBorder="1" applyAlignment="1" applyProtection="1">
      <alignment horizontal="left" vertical="center" wrapText="1"/>
    </xf>
    <xf numFmtId="0" fontId="0" fillId="0" borderId="6" xfId="0" applyBorder="1" applyAlignment="1" applyProtection="1">
      <alignment horizontal="left" vertical="top" wrapText="1"/>
    </xf>
    <xf numFmtId="0" fontId="0" fillId="0" borderId="7" xfId="0" applyBorder="1" applyAlignment="1" applyProtection="1">
      <alignment horizontal="left" vertical="top" wrapText="1"/>
    </xf>
    <xf numFmtId="0" fontId="0" fillId="0" borderId="0" xfId="0" applyAlignment="1">
      <alignment horizontal="left" vertical="top" wrapText="1"/>
    </xf>
    <xf numFmtId="0" fontId="1" fillId="2" borderId="64" xfId="0" applyFont="1" applyFill="1" applyBorder="1" applyAlignment="1" applyProtection="1">
      <alignment horizontal="center"/>
    </xf>
    <xf numFmtId="0" fontId="1" fillId="2" borderId="65" xfId="0" applyFont="1" applyFill="1" applyBorder="1" applyAlignment="1" applyProtection="1">
      <alignment horizontal="center"/>
    </xf>
    <xf numFmtId="0" fontId="1" fillId="2" borderId="61" xfId="0" applyFont="1" applyFill="1" applyBorder="1" applyAlignment="1" applyProtection="1">
      <alignment horizontal="center"/>
    </xf>
    <xf numFmtId="0" fontId="6" fillId="2" borderId="66" xfId="0" applyFont="1" applyFill="1" applyBorder="1" applyAlignment="1" applyProtection="1">
      <alignment horizontal="left" vertical="center" wrapText="1"/>
    </xf>
    <xf numFmtId="0" fontId="6" fillId="2" borderId="67" xfId="0" applyFont="1" applyFill="1" applyBorder="1" applyAlignment="1" applyProtection="1">
      <alignment horizontal="left" vertical="center" wrapText="1"/>
    </xf>
    <xf numFmtId="0" fontId="0" fillId="0" borderId="67" xfId="0" applyBorder="1" applyAlignment="1" applyProtection="1">
      <alignment horizontal="left" vertical="top" wrapText="1"/>
    </xf>
    <xf numFmtId="0" fontId="0" fillId="0" borderId="68" xfId="0" applyBorder="1" applyAlignment="1" applyProtection="1">
      <alignment horizontal="left" vertical="top" wrapText="1"/>
    </xf>
    <xf numFmtId="0" fontId="1" fillId="3" borderId="64" xfId="0" applyFont="1" applyFill="1" applyBorder="1" applyAlignment="1" applyProtection="1">
      <alignment horizontal="center" vertical="center" wrapText="1"/>
    </xf>
    <xf numFmtId="0" fontId="1" fillId="3" borderId="65" xfId="0" applyFont="1" applyFill="1" applyBorder="1" applyAlignment="1" applyProtection="1">
      <alignment horizontal="center" vertical="center" wrapText="1"/>
    </xf>
    <xf numFmtId="0" fontId="1" fillId="3" borderId="61" xfId="0" applyFont="1" applyFill="1" applyBorder="1" applyAlignment="1" applyProtection="1">
      <alignment horizontal="center" vertical="center" wrapText="1"/>
    </xf>
    <xf numFmtId="0" fontId="11" fillId="3" borderId="56" xfId="0" applyFont="1" applyFill="1" applyBorder="1" applyAlignment="1" applyProtection="1">
      <alignment horizontal="center"/>
    </xf>
    <xf numFmtId="0" fontId="11" fillId="3" borderId="11" xfId="0" applyFont="1" applyFill="1" applyBorder="1" applyAlignment="1" applyProtection="1">
      <alignment horizontal="center"/>
    </xf>
    <xf numFmtId="0" fontId="11" fillId="3" borderId="14" xfId="0" applyFont="1" applyFill="1" applyBorder="1" applyAlignment="1" applyProtection="1">
      <alignment horizontal="center"/>
    </xf>
    <xf numFmtId="0" fontId="1" fillId="3" borderId="64" xfId="0" applyFont="1" applyFill="1" applyBorder="1" applyAlignment="1" applyProtection="1">
      <alignment horizontal="center" vertical="center"/>
    </xf>
    <xf numFmtId="0" fontId="1" fillId="3" borderId="65" xfId="0" applyFont="1" applyFill="1" applyBorder="1" applyAlignment="1" applyProtection="1">
      <alignment horizontal="center" vertical="center"/>
    </xf>
    <xf numFmtId="0" fontId="1" fillId="3" borderId="61" xfId="0" applyFont="1" applyFill="1" applyBorder="1" applyAlignment="1" applyProtection="1">
      <alignment horizontal="center" vertical="center"/>
    </xf>
    <xf numFmtId="0" fontId="0" fillId="0" borderId="66" xfId="0" applyBorder="1" applyAlignment="1" applyProtection="1">
      <alignment horizontal="left" vertical="center" wrapText="1"/>
    </xf>
    <xf numFmtId="0" fontId="0" fillId="0" borderId="68" xfId="0" applyBorder="1" applyAlignment="1" applyProtection="1">
      <alignment horizontal="left" vertical="center" wrapText="1"/>
    </xf>
    <xf numFmtId="0" fontId="0" fillId="0" borderId="31" xfId="0" applyBorder="1" applyAlignment="1" applyProtection="1">
      <alignment horizontal="left" vertical="center" wrapText="1"/>
    </xf>
    <xf numFmtId="0" fontId="0" fillId="0" borderId="32" xfId="0" applyBorder="1" applyAlignment="1" applyProtection="1">
      <alignment horizontal="left" vertical="center" wrapText="1"/>
    </xf>
    <xf numFmtId="0" fontId="0" fillId="0" borderId="31" xfId="0" applyBorder="1" applyAlignment="1" applyProtection="1">
      <alignment horizontal="left" vertical="center"/>
    </xf>
    <xf numFmtId="0" fontId="0" fillId="0" borderId="31" xfId="0" applyBorder="1" applyAlignment="1" applyProtection="1">
      <alignment horizontal="left" vertical="top" wrapText="1"/>
    </xf>
    <xf numFmtId="0" fontId="0" fillId="0" borderId="5" xfId="0" applyBorder="1" applyAlignment="1" applyProtection="1">
      <alignment horizontal="left" vertical="top" wrapText="1"/>
    </xf>
  </cellXfs>
  <cellStyles count="2">
    <cellStyle name="Hyperlink" xfId="1" builtinId="8"/>
    <cellStyle name="Normal" xfId="0" builtinId="0"/>
  </cellStyles>
  <dxfs count="0"/>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ke.liu@digipen.edu" TargetMode="External"/><Relationship Id="rId2" Type="http://schemas.openxmlformats.org/officeDocument/2006/relationships/hyperlink" Target="mailto:yanweibryan.koh@digipen.edu" TargetMode="External"/><Relationship Id="rId1" Type="http://schemas.openxmlformats.org/officeDocument/2006/relationships/hyperlink" Target="mailto:l.jiakeat@digipen.edu"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5"/>
  <sheetViews>
    <sheetView topLeftCell="A13" workbookViewId="0">
      <selection activeCell="I12" sqref="I12"/>
    </sheetView>
  </sheetViews>
  <sheetFormatPr defaultRowHeight="14.4" x14ac:dyDescent="0.3"/>
  <cols>
    <col min="1" max="1" width="0.5546875" customWidth="1"/>
    <col min="3" max="3" width="27.33203125" customWidth="1"/>
    <col min="5" max="5" width="23.44140625" customWidth="1"/>
    <col min="9" max="9" width="24.6640625" customWidth="1"/>
    <col min="12" max="12" width="4.6640625" customWidth="1"/>
  </cols>
  <sheetData>
    <row r="1" spans="1:19" ht="3.75" customHeight="1" thickBot="1" x14ac:dyDescent="0.35">
      <c r="A1" s="1"/>
      <c r="B1" s="1"/>
      <c r="C1" s="1"/>
      <c r="D1" s="1"/>
      <c r="E1" s="1"/>
      <c r="F1" s="1"/>
      <c r="G1" s="1"/>
      <c r="H1" s="1"/>
      <c r="I1" s="1"/>
      <c r="J1" s="1"/>
      <c r="K1" s="1"/>
      <c r="L1" s="1"/>
      <c r="M1" s="1"/>
      <c r="N1" s="1"/>
      <c r="O1" s="1"/>
      <c r="P1" s="1"/>
      <c r="Q1" s="1"/>
      <c r="R1" s="1"/>
      <c r="S1" s="1"/>
    </row>
    <row r="2" spans="1:19" ht="15.75" customHeight="1" x14ac:dyDescent="0.3">
      <c r="A2" s="1"/>
      <c r="B2" s="174" t="s">
        <v>130</v>
      </c>
      <c r="C2" s="175"/>
      <c r="D2" s="175"/>
      <c r="E2" s="175"/>
      <c r="F2" s="175"/>
      <c r="G2" s="175"/>
      <c r="H2" s="175"/>
      <c r="I2" s="175"/>
      <c r="J2" s="175"/>
      <c r="K2" s="175"/>
      <c r="L2" s="175"/>
      <c r="M2" s="175"/>
      <c r="N2" s="175"/>
      <c r="O2" s="175"/>
      <c r="P2" s="175"/>
      <c r="Q2" s="175"/>
      <c r="R2" s="175"/>
      <c r="S2" s="176"/>
    </row>
    <row r="3" spans="1:19" ht="15.75" customHeight="1" thickBot="1" x14ac:dyDescent="0.35">
      <c r="A3" s="1"/>
      <c r="B3" s="177"/>
      <c r="C3" s="178"/>
      <c r="D3" s="178"/>
      <c r="E3" s="178"/>
      <c r="F3" s="178"/>
      <c r="G3" s="178"/>
      <c r="H3" s="178"/>
      <c r="I3" s="178"/>
      <c r="J3" s="178"/>
      <c r="K3" s="178"/>
      <c r="L3" s="178"/>
      <c r="M3" s="178"/>
      <c r="N3" s="178"/>
      <c r="O3" s="178"/>
      <c r="P3" s="178"/>
      <c r="Q3" s="178"/>
      <c r="R3" s="178"/>
      <c r="S3" s="179"/>
    </row>
    <row r="4" spans="1:19" ht="15" thickBot="1" x14ac:dyDescent="0.35">
      <c r="A4" s="1"/>
      <c r="B4" s="1"/>
      <c r="C4" s="1"/>
      <c r="D4" s="1"/>
      <c r="E4" s="1"/>
      <c r="F4" s="1"/>
      <c r="G4" s="1"/>
      <c r="H4" s="1"/>
      <c r="I4" s="1"/>
      <c r="J4" s="1"/>
      <c r="K4" s="1"/>
      <c r="L4" s="1"/>
      <c r="M4" s="1"/>
      <c r="N4" s="1"/>
      <c r="O4" s="1"/>
      <c r="P4" s="1"/>
      <c r="Q4" s="1"/>
      <c r="R4" s="1"/>
      <c r="S4" s="1"/>
    </row>
    <row r="5" spans="1:19" ht="15" thickBot="1" x14ac:dyDescent="0.35">
      <c r="A5" s="1"/>
      <c r="B5" s="183" t="s">
        <v>131</v>
      </c>
      <c r="C5" s="133"/>
      <c r="D5" s="133"/>
      <c r="E5" s="134"/>
      <c r="F5" s="2"/>
      <c r="G5" s="132" t="s">
        <v>5</v>
      </c>
      <c r="H5" s="133"/>
      <c r="I5" s="133"/>
      <c r="J5" s="133"/>
      <c r="K5" s="134"/>
      <c r="L5" s="1"/>
      <c r="M5" s="132" t="s">
        <v>6</v>
      </c>
      <c r="N5" s="133"/>
      <c r="O5" s="133"/>
      <c r="P5" s="133"/>
      <c r="Q5" s="134"/>
      <c r="R5" s="1"/>
      <c r="S5" s="1"/>
    </row>
    <row r="6" spans="1:19" x14ac:dyDescent="0.3">
      <c r="A6" s="1"/>
      <c r="B6" s="184" t="s">
        <v>143</v>
      </c>
      <c r="C6" s="185"/>
      <c r="D6" s="185"/>
      <c r="E6" s="186"/>
      <c r="F6" s="2"/>
      <c r="G6" s="184" t="s">
        <v>143</v>
      </c>
      <c r="H6" s="185"/>
      <c r="I6" s="185"/>
      <c r="J6" s="185"/>
      <c r="K6" s="186"/>
      <c r="L6" s="1"/>
      <c r="M6" s="184" t="s">
        <v>144</v>
      </c>
      <c r="N6" s="185"/>
      <c r="O6" s="185"/>
      <c r="P6" s="185"/>
      <c r="Q6" s="186"/>
      <c r="R6" s="1"/>
      <c r="S6" s="1"/>
    </row>
    <row r="7" spans="1:19" ht="15" thickBot="1" x14ac:dyDescent="0.35">
      <c r="A7" s="1"/>
      <c r="B7" s="187"/>
      <c r="C7" s="188"/>
      <c r="D7" s="188"/>
      <c r="E7" s="189"/>
      <c r="F7" s="2"/>
      <c r="G7" s="187"/>
      <c r="H7" s="188"/>
      <c r="I7" s="188"/>
      <c r="J7" s="188"/>
      <c r="K7" s="189"/>
      <c r="L7" s="1"/>
      <c r="M7" s="187"/>
      <c r="N7" s="188"/>
      <c r="O7" s="188"/>
      <c r="P7" s="188"/>
      <c r="Q7" s="189"/>
      <c r="R7" s="1"/>
      <c r="S7" s="1"/>
    </row>
    <row r="8" spans="1:19" x14ac:dyDescent="0.3">
      <c r="A8" s="1"/>
      <c r="B8" s="1"/>
      <c r="C8" s="1"/>
      <c r="D8" s="1"/>
      <c r="E8" s="1"/>
      <c r="F8" s="1"/>
      <c r="G8" s="1"/>
      <c r="H8" s="1"/>
      <c r="I8" s="1"/>
      <c r="J8" s="1"/>
      <c r="K8" s="1"/>
      <c r="L8" s="1"/>
      <c r="M8" s="1"/>
      <c r="N8" s="1"/>
      <c r="O8" s="1"/>
      <c r="P8" s="1"/>
      <c r="Q8" s="1"/>
      <c r="R8" s="1"/>
      <c r="S8" s="1"/>
    </row>
    <row r="9" spans="1:19" ht="15" thickBot="1" x14ac:dyDescent="0.35">
      <c r="A9" s="1"/>
      <c r="B9" s="1"/>
      <c r="C9" s="1"/>
      <c r="D9" s="1"/>
      <c r="E9" s="1"/>
      <c r="F9" s="1"/>
      <c r="G9" s="1"/>
      <c r="H9" s="1"/>
      <c r="I9" s="1"/>
      <c r="J9" s="1"/>
      <c r="K9" s="1"/>
      <c r="L9" s="1"/>
      <c r="M9" s="1"/>
      <c r="N9" s="1"/>
      <c r="O9" s="1"/>
      <c r="P9" s="1"/>
      <c r="Q9" s="1"/>
      <c r="R9" s="1"/>
      <c r="S9" s="1"/>
    </row>
    <row r="10" spans="1:19" ht="15.75" customHeight="1" thickBot="1" x14ac:dyDescent="0.35">
      <c r="A10" s="1"/>
      <c r="B10" s="95" t="s">
        <v>7</v>
      </c>
      <c r="C10" s="96"/>
      <c r="D10" s="96"/>
      <c r="E10" s="96"/>
      <c r="F10" s="96"/>
      <c r="G10" s="96"/>
      <c r="H10" s="96"/>
      <c r="I10" s="96"/>
      <c r="J10" s="96"/>
      <c r="K10" s="97"/>
      <c r="L10" s="1"/>
      <c r="M10" s="1"/>
      <c r="N10" s="1"/>
      <c r="O10" s="1"/>
      <c r="P10" s="1"/>
      <c r="Q10" s="1"/>
      <c r="R10" s="1"/>
      <c r="S10" s="1"/>
    </row>
    <row r="11" spans="1:19" ht="15" thickBot="1" x14ac:dyDescent="0.35">
      <c r="A11" s="1"/>
      <c r="B11" s="69" t="s">
        <v>8</v>
      </c>
      <c r="C11" s="3" t="s">
        <v>9</v>
      </c>
      <c r="D11" s="146" t="s">
        <v>10</v>
      </c>
      <c r="E11" s="145"/>
      <c r="F11" s="146" t="s">
        <v>11</v>
      </c>
      <c r="G11" s="145"/>
      <c r="H11" s="145"/>
      <c r="I11" s="3"/>
      <c r="J11" s="146" t="s">
        <v>12</v>
      </c>
      <c r="K11" s="147"/>
      <c r="L11" s="1"/>
      <c r="M11" s="1"/>
      <c r="N11" s="132" t="s">
        <v>13</v>
      </c>
      <c r="O11" s="133"/>
      <c r="P11" s="133"/>
      <c r="Q11" s="133"/>
      <c r="R11" s="134"/>
      <c r="S11" s="1"/>
    </row>
    <row r="12" spans="1:19" ht="15" thickBot="1" x14ac:dyDescent="0.35">
      <c r="A12" s="1"/>
      <c r="B12" s="62" t="s">
        <v>134</v>
      </c>
      <c r="C12" s="63" t="s">
        <v>136</v>
      </c>
      <c r="D12" s="160" t="s">
        <v>140</v>
      </c>
      <c r="E12" s="161"/>
      <c r="F12" s="158">
        <v>0</v>
      </c>
      <c r="G12" s="158"/>
      <c r="H12" s="158"/>
      <c r="I12" s="72"/>
      <c r="J12" s="148" t="str" cm="1">
        <f t="array" ref="J12">GetGrade($N$12, F12)</f>
        <v>F</v>
      </c>
      <c r="K12" s="149"/>
      <c r="L12" s="1"/>
      <c r="M12" s="1"/>
      <c r="N12" s="150" t="str" cm="1">
        <f t="array" ref="N12">ConsolidateGrade(P14,P15,P16,P17, SUM(P18,P19,P20,P21))</f>
        <v>F</v>
      </c>
      <c r="O12" s="151"/>
      <c r="P12" s="151"/>
      <c r="Q12" s="151"/>
      <c r="R12" s="152"/>
      <c r="S12" s="1"/>
    </row>
    <row r="13" spans="1:19" ht="15" thickBot="1" x14ac:dyDescent="0.35">
      <c r="A13" s="1"/>
      <c r="B13" s="62" t="s">
        <v>134</v>
      </c>
      <c r="C13" s="63" t="s">
        <v>137</v>
      </c>
      <c r="D13" s="160" t="s">
        <v>141</v>
      </c>
      <c r="E13" s="161"/>
      <c r="F13" s="158">
        <v>0</v>
      </c>
      <c r="G13" s="158"/>
      <c r="H13" s="158"/>
      <c r="I13" s="72"/>
      <c r="J13" s="148" t="str" cm="1">
        <f t="array" ref="J13">GetGrade($N$12, F13)</f>
        <v>F</v>
      </c>
      <c r="K13" s="149"/>
      <c r="L13" s="1"/>
      <c r="M13" s="1"/>
      <c r="N13" s="153"/>
      <c r="O13" s="154"/>
      <c r="P13" s="154"/>
      <c r="Q13" s="154"/>
      <c r="R13" s="155"/>
      <c r="S13" s="1"/>
    </row>
    <row r="14" spans="1:19" ht="15.75" customHeight="1" thickBot="1" x14ac:dyDescent="0.35">
      <c r="A14" s="1"/>
      <c r="B14" s="62" t="s">
        <v>135</v>
      </c>
      <c r="C14" s="63" t="s">
        <v>138</v>
      </c>
      <c r="D14" s="160" t="s">
        <v>142</v>
      </c>
      <c r="E14" s="161"/>
      <c r="F14" s="158">
        <v>0</v>
      </c>
      <c r="G14" s="158"/>
      <c r="H14" s="158"/>
      <c r="I14" s="72"/>
      <c r="J14" s="148" t="str" cm="1">
        <f t="array" ref="J14">GetGrade($N$12, F14)</f>
        <v>F</v>
      </c>
      <c r="K14" s="149"/>
      <c r="L14" s="1"/>
      <c r="M14" s="1"/>
      <c r="N14" s="141" t="s">
        <v>34</v>
      </c>
      <c r="O14" s="96"/>
      <c r="P14" s="156" t="str">
        <f>Rubric!E3</f>
        <v>F</v>
      </c>
      <c r="Q14" s="156"/>
      <c r="R14" s="157"/>
      <c r="S14" s="1"/>
    </row>
    <row r="15" spans="1:19" ht="15" thickBot="1" x14ac:dyDescent="0.35">
      <c r="A15" s="1"/>
      <c r="B15" s="62" t="s">
        <v>135</v>
      </c>
      <c r="C15" s="63" t="s">
        <v>139</v>
      </c>
      <c r="D15" s="161"/>
      <c r="E15" s="161"/>
      <c r="F15" s="158">
        <v>0</v>
      </c>
      <c r="G15" s="158"/>
      <c r="H15" s="158"/>
      <c r="I15" s="72"/>
      <c r="J15" s="148" t="str" cm="1">
        <f t="array" ref="J15">GetGrade($N$12, F15)</f>
        <v>F</v>
      </c>
      <c r="K15" s="149"/>
      <c r="L15" s="1"/>
      <c r="M15" s="1"/>
      <c r="N15" s="144" t="s">
        <v>104</v>
      </c>
      <c r="O15" s="145"/>
      <c r="P15" s="162" t="str">
        <f>Rubric!E36</f>
        <v>F</v>
      </c>
      <c r="Q15" s="162"/>
      <c r="R15" s="163"/>
      <c r="S15" s="1"/>
    </row>
    <row r="16" spans="1:19" ht="15" thickBot="1" x14ac:dyDescent="0.35">
      <c r="A16" s="1"/>
      <c r="B16" s="64"/>
      <c r="C16" s="65"/>
      <c r="D16" s="190"/>
      <c r="E16" s="190"/>
      <c r="F16" s="159">
        <v>0</v>
      </c>
      <c r="G16" s="159"/>
      <c r="H16" s="159"/>
      <c r="I16" s="73"/>
      <c r="J16" s="148" t="str" cm="1">
        <f t="array" ref="J16">GetGrade($N$12, F16)</f>
        <v>F</v>
      </c>
      <c r="K16" s="149"/>
      <c r="L16" s="1"/>
      <c r="M16" s="1"/>
      <c r="N16" s="144" t="s">
        <v>50</v>
      </c>
      <c r="O16" s="145"/>
      <c r="P16" s="162" t="str">
        <f>Rubric!E70</f>
        <v>F</v>
      </c>
      <c r="Q16" s="162"/>
      <c r="R16" s="163"/>
      <c r="S16" s="1"/>
    </row>
    <row r="17" spans="1:19" ht="15" thickBot="1" x14ac:dyDescent="0.35">
      <c r="A17" s="1"/>
      <c r="B17" s="1"/>
      <c r="C17" s="1"/>
      <c r="D17" s="1"/>
      <c r="E17" s="1"/>
      <c r="F17" s="1"/>
      <c r="G17" s="1"/>
      <c r="H17" s="1"/>
      <c r="I17" s="1"/>
      <c r="J17" s="1"/>
      <c r="K17" s="1"/>
      <c r="L17" s="1"/>
      <c r="M17" s="1"/>
      <c r="N17" s="125" t="s">
        <v>61</v>
      </c>
      <c r="O17" s="126"/>
      <c r="P17" s="164" t="str">
        <f>Rubric!E98</f>
        <v>F</v>
      </c>
      <c r="Q17" s="164"/>
      <c r="R17" s="165"/>
      <c r="S17" s="1"/>
    </row>
    <row r="18" spans="1:19" ht="15.75" customHeight="1" thickBot="1" x14ac:dyDescent="0.35">
      <c r="A18" s="1"/>
      <c r="B18" s="119"/>
      <c r="C18" s="120"/>
      <c r="D18" s="120"/>
      <c r="E18" s="166"/>
      <c r="J18" s="1"/>
      <c r="K18" s="1"/>
      <c r="L18" s="1"/>
      <c r="M18" s="1"/>
      <c r="N18" s="98" t="s">
        <v>70</v>
      </c>
      <c r="O18" s="129"/>
      <c r="P18" s="130">
        <f>Rubric!E133</f>
        <v>0</v>
      </c>
      <c r="Q18" s="130"/>
      <c r="R18" s="131"/>
      <c r="S18" s="1"/>
    </row>
    <row r="19" spans="1:19" ht="15" thickBot="1" x14ac:dyDescent="0.35">
      <c r="A19" s="1"/>
      <c r="B19" s="121"/>
      <c r="C19" s="122"/>
      <c r="D19" s="122"/>
      <c r="E19" s="167"/>
      <c r="J19" s="1"/>
      <c r="K19" s="1"/>
      <c r="L19" s="1"/>
      <c r="M19" s="1"/>
      <c r="N19" s="98" t="s">
        <v>76</v>
      </c>
      <c r="O19" s="129"/>
      <c r="P19" s="130">
        <f>Rubric!E145</f>
        <v>0</v>
      </c>
      <c r="Q19" s="130"/>
      <c r="R19" s="131"/>
      <c r="S19" s="1"/>
    </row>
    <row r="20" spans="1:19" ht="15" thickBot="1" x14ac:dyDescent="0.35">
      <c r="A20" s="1"/>
      <c r="J20" s="1"/>
      <c r="K20" s="1"/>
      <c r="L20" s="1"/>
      <c r="M20" s="1"/>
      <c r="N20" s="98" t="s">
        <v>85</v>
      </c>
      <c r="O20" s="99"/>
      <c r="P20" s="130">
        <f>(E18*-1)</f>
        <v>0</v>
      </c>
      <c r="Q20" s="130"/>
      <c r="R20" s="131"/>
      <c r="S20" s="1"/>
    </row>
    <row r="21" spans="1:19" ht="15" thickBot="1" x14ac:dyDescent="0.35">
      <c r="A21" s="1"/>
      <c r="J21" s="1"/>
      <c r="K21" s="1"/>
      <c r="L21" s="1"/>
      <c r="M21" s="1"/>
      <c r="N21" s="98" t="s">
        <v>81</v>
      </c>
      <c r="O21" s="129"/>
      <c r="P21" s="130">
        <f>I29</f>
        <v>0</v>
      </c>
      <c r="Q21" s="130"/>
      <c r="R21" s="131"/>
      <c r="S21" s="1"/>
    </row>
    <row r="22" spans="1:19" ht="15" thickBot="1" x14ac:dyDescent="0.35">
      <c r="A22" s="1"/>
      <c r="B22" s="114" t="s">
        <v>79</v>
      </c>
      <c r="C22" s="115"/>
      <c r="D22" s="115"/>
      <c r="E22" s="115"/>
      <c r="F22" s="115"/>
      <c r="G22" s="115"/>
      <c r="H22" s="115"/>
      <c r="I22" s="116"/>
      <c r="J22" s="1"/>
      <c r="K22" s="1"/>
      <c r="L22" s="1"/>
      <c r="M22" s="1"/>
      <c r="N22" s="1"/>
      <c r="O22" s="1"/>
      <c r="P22" s="1"/>
      <c r="Q22" s="1"/>
      <c r="R22" s="1"/>
      <c r="S22" s="1"/>
    </row>
    <row r="23" spans="1:19" ht="15" thickBot="1" x14ac:dyDescent="0.35">
      <c r="A23" s="1"/>
      <c r="B23" s="70"/>
      <c r="C23" s="86" t="s">
        <v>15</v>
      </c>
      <c r="D23" s="87"/>
      <c r="E23" s="87"/>
      <c r="F23" s="87"/>
      <c r="G23" s="87"/>
      <c r="H23" s="88"/>
      <c r="I23" s="71" t="s">
        <v>1</v>
      </c>
      <c r="J23" s="1"/>
      <c r="K23" s="1"/>
      <c r="L23" s="1"/>
      <c r="M23" s="1"/>
      <c r="N23" s="132" t="s">
        <v>14</v>
      </c>
      <c r="O23" s="133"/>
      <c r="P23" s="133"/>
      <c r="Q23" s="133"/>
      <c r="R23" s="134"/>
      <c r="S23" s="1"/>
    </row>
    <row r="24" spans="1:19" x14ac:dyDescent="0.3">
      <c r="A24" s="1"/>
      <c r="B24" s="89"/>
      <c r="C24" s="90"/>
      <c r="D24" s="90"/>
      <c r="E24" s="90"/>
      <c r="F24" s="90"/>
      <c r="G24" s="90"/>
      <c r="H24" s="91"/>
      <c r="I24" s="66">
        <v>0</v>
      </c>
      <c r="J24" s="1"/>
      <c r="K24" s="1"/>
      <c r="L24" s="1"/>
      <c r="M24" s="1"/>
      <c r="N24" s="135" t="str" cm="1">
        <f t="array" ref="N24">ConsolidateGrade(P26,P27,P28,P29, SUM(P30,P31,P32,P33))</f>
        <v>F</v>
      </c>
      <c r="O24" s="136"/>
      <c r="P24" s="136"/>
      <c r="Q24" s="136"/>
      <c r="R24" s="137"/>
      <c r="S24" s="1"/>
    </row>
    <row r="25" spans="1:19" ht="15.75" customHeight="1" thickBot="1" x14ac:dyDescent="0.35">
      <c r="A25" s="1"/>
      <c r="B25" s="92"/>
      <c r="C25" s="93"/>
      <c r="D25" s="93"/>
      <c r="E25" s="93"/>
      <c r="F25" s="93"/>
      <c r="G25" s="93"/>
      <c r="H25" s="94"/>
      <c r="I25" s="67">
        <v>0</v>
      </c>
      <c r="J25" s="1"/>
      <c r="K25" s="1"/>
      <c r="L25" s="1"/>
      <c r="M25" s="1"/>
      <c r="N25" s="138"/>
      <c r="O25" s="139"/>
      <c r="P25" s="139"/>
      <c r="Q25" s="139"/>
      <c r="R25" s="140"/>
      <c r="S25" s="1"/>
    </row>
    <row r="26" spans="1:19" ht="15" thickBot="1" x14ac:dyDescent="0.35">
      <c r="A26" s="1"/>
      <c r="B26" s="92"/>
      <c r="C26" s="93"/>
      <c r="D26" s="93"/>
      <c r="E26" s="93"/>
      <c r="F26" s="93"/>
      <c r="G26" s="93"/>
      <c r="H26" s="94"/>
      <c r="I26" s="67">
        <v>0</v>
      </c>
      <c r="J26" s="1"/>
      <c r="K26" s="1"/>
      <c r="L26" s="1"/>
      <c r="M26" s="1"/>
      <c r="N26" s="141" t="s">
        <v>34</v>
      </c>
      <c r="O26" s="96"/>
      <c r="P26" s="142" t="str">
        <f>Rubric!D3</f>
        <v>F</v>
      </c>
      <c r="Q26" s="142"/>
      <c r="R26" s="143"/>
      <c r="S26" s="1"/>
    </row>
    <row r="27" spans="1:19" ht="15.75" customHeight="1" thickBot="1" x14ac:dyDescent="0.35">
      <c r="A27" s="1"/>
      <c r="B27" s="92"/>
      <c r="C27" s="93"/>
      <c r="D27" s="93"/>
      <c r="E27" s="93"/>
      <c r="F27" s="93"/>
      <c r="G27" s="93"/>
      <c r="H27" s="94"/>
      <c r="I27" s="67">
        <v>0</v>
      </c>
      <c r="J27" s="1"/>
      <c r="K27" s="1"/>
      <c r="L27" s="1"/>
      <c r="M27" s="1"/>
      <c r="N27" s="144" t="s">
        <v>104</v>
      </c>
      <c r="O27" s="145"/>
      <c r="P27" s="123" t="str">
        <f>Rubric!D36</f>
        <v>F</v>
      </c>
      <c r="Q27" s="123"/>
      <c r="R27" s="124"/>
      <c r="S27" s="1"/>
    </row>
    <row r="28" spans="1:19" ht="15.75" customHeight="1" thickBot="1" x14ac:dyDescent="0.35">
      <c r="A28" s="1"/>
      <c r="B28" s="83"/>
      <c r="C28" s="84"/>
      <c r="D28" s="84"/>
      <c r="E28" s="84"/>
      <c r="F28" s="84"/>
      <c r="G28" s="84"/>
      <c r="H28" s="85"/>
      <c r="I28" s="68">
        <v>0</v>
      </c>
      <c r="J28" s="1"/>
      <c r="K28" s="1"/>
      <c r="L28" s="1"/>
      <c r="M28" s="1"/>
      <c r="N28" s="144" t="s">
        <v>50</v>
      </c>
      <c r="O28" s="145"/>
      <c r="P28" s="123" t="str">
        <f>Rubric!D70</f>
        <v>F</v>
      </c>
      <c r="Q28" s="123"/>
      <c r="R28" s="124"/>
      <c r="S28" s="1"/>
    </row>
    <row r="29" spans="1:19" ht="15.75" customHeight="1" thickBot="1" x14ac:dyDescent="0.35">
      <c r="A29" s="1"/>
      <c r="B29" s="111" t="s">
        <v>4</v>
      </c>
      <c r="C29" s="112"/>
      <c r="D29" s="112"/>
      <c r="E29" s="112"/>
      <c r="F29" s="112"/>
      <c r="G29" s="112"/>
      <c r="H29" s="113"/>
      <c r="I29" s="10">
        <f>SUM(I24:I28)</f>
        <v>0</v>
      </c>
      <c r="J29" s="1"/>
      <c r="K29" s="1"/>
      <c r="L29" s="1"/>
      <c r="M29" s="1"/>
      <c r="N29" s="125" t="s">
        <v>61</v>
      </c>
      <c r="O29" s="126"/>
      <c r="P29" s="127" t="str">
        <f>Rubric!D98</f>
        <v>F</v>
      </c>
      <c r="Q29" s="127"/>
      <c r="R29" s="128"/>
      <c r="S29" s="1"/>
    </row>
    <row r="30" spans="1:19" ht="15.75" customHeight="1" thickBot="1" x14ac:dyDescent="0.35">
      <c r="A30" s="1"/>
      <c r="J30" s="1"/>
      <c r="K30" s="1"/>
      <c r="L30" s="1"/>
      <c r="M30" s="1"/>
      <c r="N30" s="98" t="s">
        <v>70</v>
      </c>
      <c r="O30" s="129"/>
      <c r="P30" s="191">
        <f>Rubric!D133</f>
        <v>0</v>
      </c>
      <c r="Q30" s="191"/>
      <c r="R30" s="192"/>
      <c r="S30" s="1"/>
    </row>
    <row r="31" spans="1:19" ht="15.75" customHeight="1" thickBot="1" x14ac:dyDescent="0.35">
      <c r="A31" s="1"/>
      <c r="J31" s="1"/>
      <c r="K31" s="1"/>
      <c r="L31" s="1"/>
      <c r="M31" s="1"/>
      <c r="N31" s="98" t="s">
        <v>76</v>
      </c>
      <c r="O31" s="129"/>
      <c r="P31" s="191">
        <f>Rubric!D145</f>
        <v>0</v>
      </c>
      <c r="Q31" s="191"/>
      <c r="R31" s="192"/>
      <c r="S31" s="1"/>
    </row>
    <row r="32" spans="1:19" ht="15" thickBot="1" x14ac:dyDescent="0.35">
      <c r="A32" s="1"/>
      <c r="B32" s="117" t="s">
        <v>80</v>
      </c>
      <c r="C32" s="118"/>
      <c r="D32" s="118"/>
      <c r="E32" s="118"/>
      <c r="F32" s="118"/>
      <c r="G32" s="118"/>
      <c r="H32" s="118"/>
      <c r="I32" s="118"/>
      <c r="J32" s="1"/>
      <c r="K32" s="1"/>
      <c r="L32" s="1"/>
      <c r="M32" s="1"/>
      <c r="N32" s="98" t="s">
        <v>85</v>
      </c>
      <c r="O32" s="129"/>
      <c r="P32" s="191">
        <f>(E18*-1)</f>
        <v>0</v>
      </c>
      <c r="Q32" s="191"/>
      <c r="R32" s="192"/>
      <c r="S32" s="1"/>
    </row>
    <row r="33" spans="1:19" ht="15" thickBot="1" x14ac:dyDescent="0.35">
      <c r="A33" s="1"/>
      <c r="B33" s="5"/>
      <c r="C33" s="6" t="s">
        <v>15</v>
      </c>
      <c r="D33" s="7"/>
      <c r="E33" s="7"/>
      <c r="F33" s="7"/>
      <c r="G33" s="7"/>
      <c r="H33" s="8"/>
      <c r="I33" s="9" t="s">
        <v>1</v>
      </c>
      <c r="J33" s="1"/>
      <c r="K33" s="1"/>
      <c r="L33" s="1"/>
      <c r="M33" s="1"/>
      <c r="N33" s="98" t="s">
        <v>81</v>
      </c>
      <c r="O33" s="99"/>
      <c r="P33" s="191">
        <f>I39</f>
        <v>0</v>
      </c>
      <c r="Q33" s="191"/>
      <c r="R33" s="192"/>
      <c r="S33" s="1"/>
    </row>
    <row r="34" spans="1:19" x14ac:dyDescent="0.3">
      <c r="A34" s="1"/>
      <c r="B34" s="89"/>
      <c r="C34" s="90"/>
      <c r="D34" s="90"/>
      <c r="E34" s="90"/>
      <c r="F34" s="90"/>
      <c r="G34" s="90"/>
      <c r="H34" s="91"/>
      <c r="I34" s="66">
        <v>0</v>
      </c>
      <c r="J34" s="1"/>
      <c r="K34" s="1"/>
      <c r="L34" s="1"/>
      <c r="M34" s="1"/>
      <c r="N34" s="1"/>
      <c r="O34" s="1"/>
      <c r="P34" s="1"/>
      <c r="Q34" s="1"/>
      <c r="R34" s="1"/>
      <c r="S34" s="1"/>
    </row>
    <row r="35" spans="1:19" ht="15.75" customHeight="1" thickBot="1" x14ac:dyDescent="0.35">
      <c r="A35" s="1"/>
      <c r="B35" s="92"/>
      <c r="C35" s="93"/>
      <c r="D35" s="93"/>
      <c r="E35" s="93"/>
      <c r="F35" s="93"/>
      <c r="G35" s="93"/>
      <c r="H35" s="94"/>
      <c r="I35" s="67">
        <v>0</v>
      </c>
      <c r="J35" s="1"/>
      <c r="K35" s="1"/>
      <c r="L35" s="106" t="s">
        <v>16</v>
      </c>
      <c r="M35" s="107"/>
      <c r="N35" s="107"/>
      <c r="O35" s="107"/>
      <c r="P35" s="107"/>
      <c r="Q35" s="107"/>
      <c r="R35" s="107"/>
      <c r="S35" s="107"/>
    </row>
    <row r="36" spans="1:19" ht="15.75" customHeight="1" x14ac:dyDescent="0.3">
      <c r="A36" s="1"/>
      <c r="B36" s="92"/>
      <c r="C36" s="93"/>
      <c r="D36" s="93"/>
      <c r="E36" s="93"/>
      <c r="F36" s="93"/>
      <c r="G36" s="93"/>
      <c r="H36" s="94"/>
      <c r="I36" s="67">
        <v>0</v>
      </c>
      <c r="J36" s="1"/>
      <c r="K36" s="1"/>
      <c r="L36" s="11"/>
      <c r="M36" s="100" t="s">
        <v>17</v>
      </c>
      <c r="N36" s="101"/>
      <c r="O36" s="101"/>
      <c r="P36" s="101"/>
      <c r="Q36" s="101"/>
      <c r="R36" s="101"/>
      <c r="S36" s="102"/>
    </row>
    <row r="37" spans="1:19" ht="15" thickBot="1" x14ac:dyDescent="0.35">
      <c r="A37" s="1"/>
      <c r="B37" s="92"/>
      <c r="C37" s="93"/>
      <c r="D37" s="93"/>
      <c r="E37" s="93"/>
      <c r="F37" s="93"/>
      <c r="G37" s="93"/>
      <c r="H37" s="94"/>
      <c r="I37" s="67">
        <v>0</v>
      </c>
      <c r="J37" s="1"/>
      <c r="K37" s="1"/>
      <c r="L37" s="12"/>
      <c r="M37" s="103"/>
      <c r="N37" s="104"/>
      <c r="O37" s="104"/>
      <c r="P37" s="104"/>
      <c r="Q37" s="104"/>
      <c r="R37" s="104"/>
      <c r="S37" s="105"/>
    </row>
    <row r="38" spans="1:19" ht="15" thickBot="1" x14ac:dyDescent="0.35">
      <c r="A38" s="1"/>
      <c r="B38" s="83"/>
      <c r="C38" s="84"/>
      <c r="D38" s="84"/>
      <c r="E38" s="84"/>
      <c r="F38" s="84"/>
      <c r="G38" s="84"/>
      <c r="H38" s="85"/>
      <c r="I38" s="68">
        <v>0</v>
      </c>
      <c r="J38" s="1"/>
      <c r="K38" s="1"/>
      <c r="L38" s="13">
        <v>-3</v>
      </c>
      <c r="M38" s="108" t="s">
        <v>86</v>
      </c>
      <c r="N38" s="109"/>
      <c r="O38" s="109"/>
      <c r="P38" s="109"/>
      <c r="Q38" s="109"/>
      <c r="R38" s="109"/>
      <c r="S38" s="110"/>
    </row>
    <row r="39" spans="1:19" ht="15.75" customHeight="1" thickBot="1" x14ac:dyDescent="0.35">
      <c r="A39" s="1"/>
      <c r="B39" s="111" t="s">
        <v>4</v>
      </c>
      <c r="C39" s="112"/>
      <c r="D39" s="112"/>
      <c r="E39" s="112"/>
      <c r="F39" s="112"/>
      <c r="G39" s="112"/>
      <c r="H39" s="113"/>
      <c r="I39" s="15">
        <f>SUM(I34:I38)</f>
        <v>0</v>
      </c>
      <c r="J39" s="1"/>
      <c r="K39" s="1"/>
      <c r="L39" s="14">
        <v>-2</v>
      </c>
      <c r="M39" s="108" t="s">
        <v>23</v>
      </c>
      <c r="N39" s="109"/>
      <c r="O39" s="109"/>
      <c r="P39" s="109"/>
      <c r="Q39" s="109"/>
      <c r="R39" s="109"/>
      <c r="S39" s="110"/>
    </row>
    <row r="40" spans="1:19" x14ac:dyDescent="0.3">
      <c r="A40" s="1"/>
      <c r="J40" s="1"/>
      <c r="K40" s="1"/>
      <c r="L40" s="14">
        <v>-1</v>
      </c>
      <c r="M40" s="108" t="s">
        <v>24</v>
      </c>
      <c r="N40" s="109"/>
      <c r="O40" s="109"/>
      <c r="P40" s="109"/>
      <c r="Q40" s="109"/>
      <c r="R40" s="109"/>
      <c r="S40" s="110"/>
    </row>
    <row r="41" spans="1:19" ht="15" thickBot="1" x14ac:dyDescent="0.35">
      <c r="A41" s="1"/>
      <c r="J41" s="1"/>
      <c r="K41" s="1"/>
      <c r="L41" s="14">
        <v>0</v>
      </c>
      <c r="M41" s="108" t="s">
        <v>25</v>
      </c>
      <c r="N41" s="109"/>
      <c r="O41" s="109"/>
      <c r="P41" s="109"/>
      <c r="Q41" s="109"/>
      <c r="R41" s="109"/>
      <c r="S41" s="110"/>
    </row>
    <row r="42" spans="1:19" x14ac:dyDescent="0.3">
      <c r="A42" s="1"/>
      <c r="B42" s="196" t="s">
        <v>28</v>
      </c>
      <c r="C42" s="197"/>
      <c r="D42" s="197"/>
      <c r="E42" s="197"/>
      <c r="F42" s="197"/>
      <c r="G42" s="197"/>
      <c r="H42" s="197"/>
      <c r="I42" s="198"/>
      <c r="J42" s="1"/>
      <c r="K42" s="1"/>
      <c r="L42" s="14">
        <v>0.5</v>
      </c>
      <c r="M42" s="108" t="s">
        <v>26</v>
      </c>
      <c r="N42" s="109"/>
      <c r="O42" s="109"/>
      <c r="P42" s="109"/>
      <c r="Q42" s="109"/>
      <c r="R42" s="109"/>
      <c r="S42" s="110"/>
    </row>
    <row r="43" spans="1:19" ht="15" thickBot="1" x14ac:dyDescent="0.35">
      <c r="A43" s="1"/>
      <c r="B43" s="171"/>
      <c r="C43" s="172"/>
      <c r="D43" s="172"/>
      <c r="E43" s="172"/>
      <c r="F43" s="172"/>
      <c r="G43" s="172"/>
      <c r="H43" s="172"/>
      <c r="I43" s="173"/>
      <c r="J43" s="1"/>
      <c r="K43" s="1"/>
      <c r="L43" s="16">
        <v>1</v>
      </c>
      <c r="M43" s="193" t="s">
        <v>87</v>
      </c>
      <c r="N43" s="194"/>
      <c r="O43" s="194"/>
      <c r="P43" s="194"/>
      <c r="Q43" s="194"/>
      <c r="R43" s="194"/>
      <c r="S43" s="195"/>
    </row>
    <row r="44" spans="1:19" x14ac:dyDescent="0.3">
      <c r="A44" s="1"/>
      <c r="B44" s="171"/>
      <c r="C44" s="172"/>
      <c r="D44" s="172"/>
      <c r="E44" s="172"/>
      <c r="F44" s="172"/>
      <c r="G44" s="172"/>
      <c r="H44" s="172"/>
      <c r="I44" s="173"/>
      <c r="J44" s="1"/>
      <c r="K44" s="1"/>
      <c r="L44" s="1"/>
      <c r="M44" s="1"/>
      <c r="N44" s="1"/>
      <c r="O44" s="1"/>
      <c r="P44" s="1"/>
      <c r="Q44" s="1"/>
      <c r="R44" s="1"/>
      <c r="S44" s="1"/>
    </row>
    <row r="45" spans="1:19" x14ac:dyDescent="0.3">
      <c r="A45" s="1"/>
      <c r="B45" s="171"/>
      <c r="C45" s="172"/>
      <c r="D45" s="172"/>
      <c r="E45" s="172"/>
      <c r="F45" s="172"/>
      <c r="G45" s="172"/>
      <c r="H45" s="172"/>
      <c r="I45" s="173"/>
      <c r="J45" s="1"/>
      <c r="K45" s="1"/>
      <c r="L45" s="1"/>
      <c r="M45" s="1"/>
      <c r="N45" s="1"/>
      <c r="O45" s="1"/>
      <c r="P45" s="1"/>
      <c r="Q45" s="1"/>
      <c r="R45" s="1"/>
      <c r="S45" s="1"/>
    </row>
    <row r="46" spans="1:19" ht="15" customHeight="1" x14ac:dyDescent="0.3">
      <c r="A46" s="1"/>
      <c r="B46" s="171"/>
      <c r="C46" s="172"/>
      <c r="D46" s="172"/>
      <c r="E46" s="172"/>
      <c r="F46" s="172"/>
      <c r="G46" s="172"/>
      <c r="H46" s="172"/>
      <c r="I46" s="173"/>
      <c r="J46" s="1"/>
      <c r="K46" s="1"/>
      <c r="L46" s="1"/>
      <c r="M46" s="1"/>
      <c r="N46" s="1"/>
      <c r="O46" s="1"/>
      <c r="P46" s="1"/>
      <c r="Q46" s="1"/>
      <c r="R46" s="1"/>
      <c r="S46" s="1"/>
    </row>
    <row r="47" spans="1:19" x14ac:dyDescent="0.3">
      <c r="A47" s="1"/>
      <c r="B47" s="168"/>
      <c r="C47" s="169"/>
      <c r="D47" s="169"/>
      <c r="E47" s="169"/>
      <c r="F47" s="169"/>
      <c r="G47" s="169"/>
      <c r="H47" s="169"/>
      <c r="I47" s="170"/>
      <c r="J47" s="1"/>
      <c r="K47" s="1"/>
      <c r="L47" s="1"/>
      <c r="M47" s="1"/>
      <c r="N47" s="1"/>
      <c r="O47" s="1"/>
      <c r="P47" s="1"/>
      <c r="Q47" s="1"/>
      <c r="R47" s="1"/>
      <c r="S47" s="1"/>
    </row>
    <row r="48" spans="1:19" x14ac:dyDescent="0.3">
      <c r="A48" s="1"/>
      <c r="B48" s="168"/>
      <c r="C48" s="169"/>
      <c r="D48" s="169"/>
      <c r="E48" s="169"/>
      <c r="F48" s="169"/>
      <c r="G48" s="169"/>
      <c r="H48" s="169"/>
      <c r="I48" s="170"/>
      <c r="J48" s="1"/>
      <c r="K48" s="1"/>
      <c r="L48" s="1"/>
      <c r="M48" s="1"/>
      <c r="N48" s="1"/>
      <c r="O48" s="1"/>
      <c r="P48" s="1"/>
      <c r="Q48" s="1"/>
      <c r="R48" s="1"/>
      <c r="S48" s="1"/>
    </row>
    <row r="49" spans="1:19" x14ac:dyDescent="0.3">
      <c r="A49" s="1"/>
      <c r="B49" s="168"/>
      <c r="C49" s="169"/>
      <c r="D49" s="169"/>
      <c r="E49" s="169"/>
      <c r="F49" s="169"/>
      <c r="G49" s="169"/>
      <c r="H49" s="169"/>
      <c r="I49" s="170"/>
      <c r="J49" s="1"/>
      <c r="K49" s="1"/>
      <c r="L49" s="1"/>
      <c r="M49" s="1"/>
      <c r="N49" s="1"/>
      <c r="O49" s="1"/>
      <c r="P49" s="1"/>
      <c r="Q49" s="1"/>
      <c r="R49" s="1"/>
      <c r="S49" s="1"/>
    </row>
    <row r="50" spans="1:19" ht="15" thickBot="1" x14ac:dyDescent="0.35">
      <c r="A50" s="1"/>
      <c r="B50" s="180"/>
      <c r="C50" s="181"/>
      <c r="D50" s="181"/>
      <c r="E50" s="181"/>
      <c r="F50" s="181"/>
      <c r="G50" s="181"/>
      <c r="H50" s="181"/>
      <c r="I50" s="182"/>
      <c r="J50" s="1"/>
      <c r="K50" s="1"/>
    </row>
    <row r="51" spans="1:19" x14ac:dyDescent="0.3">
      <c r="A51" s="1"/>
      <c r="J51" s="1"/>
      <c r="K51" s="1"/>
    </row>
    <row r="52" spans="1:19" x14ac:dyDescent="0.3">
      <c r="A52" s="1"/>
      <c r="J52" s="1"/>
      <c r="K52" s="1"/>
    </row>
    <row r="53" spans="1:19" x14ac:dyDescent="0.3">
      <c r="A53" s="1"/>
      <c r="J53" s="1"/>
      <c r="K53" s="1"/>
    </row>
    <row r="54" spans="1:19" x14ac:dyDescent="0.3">
      <c r="A54" s="1"/>
      <c r="J54" s="1"/>
      <c r="K54" s="1"/>
    </row>
    <row r="55" spans="1:19" x14ac:dyDescent="0.3">
      <c r="A55" s="1"/>
      <c r="J55" s="1"/>
      <c r="K55" s="1"/>
    </row>
  </sheetData>
  <sheetProtection selectLockedCells="1"/>
  <mergeCells count="97">
    <mergeCell ref="N32:O32"/>
    <mergeCell ref="P32:R32"/>
    <mergeCell ref="N31:O31"/>
    <mergeCell ref="P31:R31"/>
    <mergeCell ref="N30:O30"/>
    <mergeCell ref="P30:R30"/>
    <mergeCell ref="B44:I44"/>
    <mergeCell ref="B45:I45"/>
    <mergeCell ref="B46:I46"/>
    <mergeCell ref="B47:I47"/>
    <mergeCell ref="P33:R33"/>
    <mergeCell ref="M43:S43"/>
    <mergeCell ref="M40:S40"/>
    <mergeCell ref="M41:S41"/>
    <mergeCell ref="M42:S42"/>
    <mergeCell ref="B39:H39"/>
    <mergeCell ref="M39:S39"/>
    <mergeCell ref="B42:I42"/>
    <mergeCell ref="B48:I48"/>
    <mergeCell ref="B43:I43"/>
    <mergeCell ref="B2:S3"/>
    <mergeCell ref="B49:I49"/>
    <mergeCell ref="B50:I50"/>
    <mergeCell ref="B5:E5"/>
    <mergeCell ref="G5:K5"/>
    <mergeCell ref="B6:E7"/>
    <mergeCell ref="G6:K7"/>
    <mergeCell ref="M5:Q5"/>
    <mergeCell ref="M6:Q7"/>
    <mergeCell ref="D15:E15"/>
    <mergeCell ref="D16:E16"/>
    <mergeCell ref="F12:H12"/>
    <mergeCell ref="F13:H13"/>
    <mergeCell ref="F14:H14"/>
    <mergeCell ref="F15:H15"/>
    <mergeCell ref="F16:H16"/>
    <mergeCell ref="N21:O21"/>
    <mergeCell ref="P21:R21"/>
    <mergeCell ref="D12:E12"/>
    <mergeCell ref="D13:E13"/>
    <mergeCell ref="D14:E14"/>
    <mergeCell ref="N15:O15"/>
    <mergeCell ref="P15:R15"/>
    <mergeCell ref="N16:O16"/>
    <mergeCell ref="P16:R16"/>
    <mergeCell ref="N17:O17"/>
    <mergeCell ref="P17:R17"/>
    <mergeCell ref="E18:E19"/>
    <mergeCell ref="J15:K15"/>
    <mergeCell ref="J16:K16"/>
    <mergeCell ref="N11:R11"/>
    <mergeCell ref="N12:R13"/>
    <mergeCell ref="N14:O14"/>
    <mergeCell ref="P14:R14"/>
    <mergeCell ref="F11:H11"/>
    <mergeCell ref="D11:E11"/>
    <mergeCell ref="J11:K11"/>
    <mergeCell ref="J12:K12"/>
    <mergeCell ref="J13:K13"/>
    <mergeCell ref="J14:K14"/>
    <mergeCell ref="P28:R28"/>
    <mergeCell ref="N29:O29"/>
    <mergeCell ref="P29:R29"/>
    <mergeCell ref="N18:O18"/>
    <mergeCell ref="N19:O19"/>
    <mergeCell ref="P19:R19"/>
    <mergeCell ref="P20:R20"/>
    <mergeCell ref="P18:R18"/>
    <mergeCell ref="N23:R23"/>
    <mergeCell ref="N24:R25"/>
    <mergeCell ref="N26:O26"/>
    <mergeCell ref="P26:R26"/>
    <mergeCell ref="N27:O27"/>
    <mergeCell ref="P27:R27"/>
    <mergeCell ref="N28:O28"/>
    <mergeCell ref="B10:K10"/>
    <mergeCell ref="N33:O33"/>
    <mergeCell ref="N20:O20"/>
    <mergeCell ref="B37:H37"/>
    <mergeCell ref="B38:H38"/>
    <mergeCell ref="M36:S37"/>
    <mergeCell ref="B34:H34"/>
    <mergeCell ref="B35:H35"/>
    <mergeCell ref="L35:S35"/>
    <mergeCell ref="M38:S38"/>
    <mergeCell ref="B29:H29"/>
    <mergeCell ref="B36:H36"/>
    <mergeCell ref="B22:I22"/>
    <mergeCell ref="B32:I32"/>
    <mergeCell ref="B18:D18"/>
    <mergeCell ref="B19:D19"/>
    <mergeCell ref="B28:H28"/>
    <mergeCell ref="C23:H23"/>
    <mergeCell ref="B24:H24"/>
    <mergeCell ref="B25:H25"/>
    <mergeCell ref="B26:H26"/>
    <mergeCell ref="B27:H27"/>
  </mergeCells>
  <hyperlinks>
    <hyperlink ref="D12" r:id="rId1" xr:uid="{79785ECF-CE59-45D8-885B-539B17F4CC97}"/>
    <hyperlink ref="D13" r:id="rId2" xr:uid="{20F84E8F-FC58-4042-BCF7-E8D2768271D7}"/>
    <hyperlink ref="D14" r:id="rId3" xr:uid="{CA3C5D50-B760-46AD-9C90-3DE2CC0F095A}"/>
  </hyperlinks>
  <pageMargins left="0.7" right="0.7" top="0.75" bottom="0.75" header="0.3" footer="0.3"/>
  <pageSetup orientation="portrait" horizontalDpi="300" verticalDpi="300"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59"/>
  <sheetViews>
    <sheetView tabSelected="1" topLeftCell="B1" workbookViewId="0">
      <selection activeCell="F21" sqref="F21:F22"/>
    </sheetView>
  </sheetViews>
  <sheetFormatPr defaultRowHeight="14.4" x14ac:dyDescent="0.3"/>
  <cols>
    <col min="1" max="1" width="0.5546875" customWidth="1"/>
    <col min="2" max="2" width="8.5546875" customWidth="1"/>
    <col min="3" max="3" width="61.5546875" customWidth="1"/>
    <col min="4" max="5" width="14.33203125" customWidth="1"/>
    <col min="6" max="6" width="91" customWidth="1"/>
  </cols>
  <sheetData>
    <row r="1" spans="1:6" ht="3.75" customHeight="1" thickBot="1" x14ac:dyDescent="0.35">
      <c r="A1" s="1"/>
      <c r="B1" s="1"/>
      <c r="C1" s="1"/>
      <c r="D1" s="1"/>
      <c r="E1" s="1"/>
      <c r="F1" s="1"/>
    </row>
    <row r="2" spans="1:6" ht="15" customHeight="1" x14ac:dyDescent="0.3">
      <c r="A2" s="1"/>
      <c r="B2" s="17" t="s">
        <v>4</v>
      </c>
      <c r="C2" s="199" t="s">
        <v>34</v>
      </c>
      <c r="D2" s="18" t="s">
        <v>2</v>
      </c>
      <c r="E2" s="18" t="s">
        <v>3</v>
      </c>
      <c r="F2" s="19"/>
    </row>
    <row r="3" spans="1:6" ht="15.75" customHeight="1" thickBot="1" x14ac:dyDescent="0.35">
      <c r="A3" s="1"/>
      <c r="B3" s="20">
        <v>0.2</v>
      </c>
      <c r="C3" s="200"/>
      <c r="D3" s="21" t="str" cm="1">
        <f t="array" ref="D3">GetGrade(D7, SUM(D14,D21,D28))</f>
        <v>F</v>
      </c>
      <c r="E3" s="22" t="str" cm="1">
        <f t="array" ref="E3">GetGrade(D10, SUM(D17,D24,D31))</f>
        <v>F</v>
      </c>
      <c r="F3" s="23"/>
    </row>
    <row r="4" spans="1:6" ht="3.75" customHeight="1" thickBot="1" x14ac:dyDescent="0.35">
      <c r="A4" s="1"/>
      <c r="B4" s="24"/>
      <c r="C4" s="25"/>
      <c r="D4" s="25"/>
      <c r="E4" s="26"/>
      <c r="F4" s="27"/>
    </row>
    <row r="5" spans="1:6" ht="15" thickBot="1" x14ac:dyDescent="0.35">
      <c r="A5" s="1"/>
      <c r="B5" s="28" t="s">
        <v>30</v>
      </c>
      <c r="C5" s="29" t="s">
        <v>29</v>
      </c>
      <c r="D5" s="30" t="s">
        <v>1</v>
      </c>
      <c r="E5" s="29"/>
      <c r="F5" s="31" t="s">
        <v>41</v>
      </c>
    </row>
    <row r="6" spans="1:6" x14ac:dyDescent="0.3">
      <c r="A6" s="1"/>
      <c r="B6" s="32" t="s">
        <v>95</v>
      </c>
      <c r="C6" s="33" t="s">
        <v>31</v>
      </c>
      <c r="D6" s="34" t="s">
        <v>2</v>
      </c>
      <c r="E6" s="34"/>
      <c r="F6" s="35" t="s">
        <v>0</v>
      </c>
    </row>
    <row r="7" spans="1:6" x14ac:dyDescent="0.3">
      <c r="A7" s="1"/>
      <c r="B7" s="37" t="s">
        <v>100</v>
      </c>
      <c r="C7" s="36" t="s">
        <v>32</v>
      </c>
      <c r="D7" s="211">
        <v>0</v>
      </c>
      <c r="E7" s="201"/>
      <c r="F7" s="205" t="s">
        <v>145</v>
      </c>
    </row>
    <row r="8" spans="1:6" ht="15" thickBot="1" x14ac:dyDescent="0.35">
      <c r="A8" s="1"/>
      <c r="B8" s="37" t="s">
        <v>99</v>
      </c>
      <c r="C8" s="36" t="s">
        <v>33</v>
      </c>
      <c r="D8" s="212"/>
      <c r="E8" s="202"/>
      <c r="F8" s="206"/>
    </row>
    <row r="9" spans="1:6" x14ac:dyDescent="0.3">
      <c r="A9" s="1"/>
      <c r="B9" s="37" t="s">
        <v>98</v>
      </c>
      <c r="C9" s="36" t="s">
        <v>35</v>
      </c>
      <c r="D9" s="34" t="s">
        <v>38</v>
      </c>
      <c r="E9" s="38"/>
      <c r="F9" s="35" t="s">
        <v>39</v>
      </c>
    </row>
    <row r="10" spans="1:6" x14ac:dyDescent="0.3">
      <c r="A10" s="1"/>
      <c r="B10" s="37" t="s">
        <v>97</v>
      </c>
      <c r="C10" s="36" t="s">
        <v>36</v>
      </c>
      <c r="D10" s="209">
        <v>0</v>
      </c>
      <c r="E10" s="203"/>
      <c r="F10" s="207"/>
    </row>
    <row r="11" spans="1:6" x14ac:dyDescent="0.3">
      <c r="A11" s="1"/>
      <c r="B11" s="37" t="s">
        <v>96</v>
      </c>
      <c r="C11" s="36" t="s">
        <v>37</v>
      </c>
      <c r="D11" s="210"/>
      <c r="E11" s="204"/>
      <c r="F11" s="208"/>
    </row>
    <row r="12" spans="1:6" ht="7.5" customHeight="1" thickBot="1" x14ac:dyDescent="0.35">
      <c r="A12" s="1"/>
      <c r="B12" s="41"/>
      <c r="C12" s="42"/>
      <c r="D12" s="43"/>
      <c r="E12" s="44"/>
      <c r="F12" s="45"/>
    </row>
    <row r="13" spans="1:6" ht="15" thickBot="1" x14ac:dyDescent="0.35">
      <c r="A13" s="1"/>
      <c r="B13" s="219">
        <v>-1</v>
      </c>
      <c r="C13" s="221" t="s">
        <v>42</v>
      </c>
      <c r="D13" s="46" t="s">
        <v>2</v>
      </c>
      <c r="E13" s="46"/>
      <c r="F13" s="47" t="s">
        <v>0</v>
      </c>
    </row>
    <row r="14" spans="1:6" x14ac:dyDescent="0.3">
      <c r="A14" s="1"/>
      <c r="B14" s="220"/>
      <c r="C14" s="222"/>
      <c r="D14" s="223">
        <v>0</v>
      </c>
      <c r="E14" s="213"/>
      <c r="F14" s="215" t="s">
        <v>146</v>
      </c>
    </row>
    <row r="15" spans="1:6" x14ac:dyDescent="0.3">
      <c r="A15" s="1"/>
      <c r="B15" s="220"/>
      <c r="C15" s="222"/>
      <c r="D15" s="224"/>
      <c r="E15" s="201"/>
      <c r="F15" s="205"/>
    </row>
    <row r="16" spans="1:6" x14ac:dyDescent="0.3">
      <c r="A16" s="1"/>
      <c r="B16" s="220">
        <v>-0.5</v>
      </c>
      <c r="C16" s="222" t="s">
        <v>43</v>
      </c>
      <c r="D16" s="34" t="s">
        <v>38</v>
      </c>
      <c r="E16" s="38"/>
      <c r="F16" s="35" t="s">
        <v>39</v>
      </c>
    </row>
    <row r="17" spans="1:6" x14ac:dyDescent="0.3">
      <c r="A17" s="1"/>
      <c r="B17" s="220"/>
      <c r="C17" s="222"/>
      <c r="D17" s="217">
        <v>0</v>
      </c>
      <c r="E17" s="203"/>
      <c r="F17" s="207"/>
    </row>
    <row r="18" spans="1:6" ht="15" thickBot="1" x14ac:dyDescent="0.35">
      <c r="A18" s="1"/>
      <c r="B18" s="76">
        <v>0</v>
      </c>
      <c r="C18" s="48" t="s">
        <v>44</v>
      </c>
      <c r="D18" s="218"/>
      <c r="E18" s="214"/>
      <c r="F18" s="216"/>
    </row>
    <row r="19" spans="1:6" ht="7.5" customHeight="1" thickBot="1" x14ac:dyDescent="0.35">
      <c r="A19" s="1"/>
      <c r="B19" s="49"/>
      <c r="C19" s="50"/>
      <c r="D19" s="50"/>
      <c r="E19" s="50"/>
      <c r="F19" s="51"/>
    </row>
    <row r="20" spans="1:6" ht="15" thickBot="1" x14ac:dyDescent="0.35">
      <c r="A20" s="1"/>
      <c r="B20" s="219">
        <v>-1</v>
      </c>
      <c r="C20" s="221" t="s">
        <v>46</v>
      </c>
      <c r="D20" s="46" t="s">
        <v>2</v>
      </c>
      <c r="E20" s="46"/>
      <c r="F20" s="47" t="s">
        <v>0</v>
      </c>
    </row>
    <row r="21" spans="1:6" x14ac:dyDescent="0.3">
      <c r="A21" s="1"/>
      <c r="B21" s="220"/>
      <c r="C21" s="222"/>
      <c r="D21" s="223">
        <v>0</v>
      </c>
      <c r="E21" s="213"/>
      <c r="F21" s="215" t="s">
        <v>148</v>
      </c>
    </row>
    <row r="22" spans="1:6" x14ac:dyDescent="0.3">
      <c r="A22" s="1"/>
      <c r="B22" s="220">
        <v>-0.5</v>
      </c>
      <c r="C22" s="222" t="s">
        <v>47</v>
      </c>
      <c r="D22" s="224"/>
      <c r="E22" s="201"/>
      <c r="F22" s="205"/>
    </row>
    <row r="23" spans="1:6" x14ac:dyDescent="0.3">
      <c r="A23" s="1"/>
      <c r="B23" s="220"/>
      <c r="C23" s="222"/>
      <c r="D23" s="34" t="s">
        <v>38</v>
      </c>
      <c r="E23" s="38"/>
      <c r="F23" s="35" t="s">
        <v>39</v>
      </c>
    </row>
    <row r="24" spans="1:6" x14ac:dyDescent="0.3">
      <c r="A24" s="1"/>
      <c r="B24" s="77">
        <v>0</v>
      </c>
      <c r="C24" s="52" t="s">
        <v>48</v>
      </c>
      <c r="D24" s="217">
        <v>0</v>
      </c>
      <c r="E24" s="203"/>
      <c r="F24" s="207"/>
    </row>
    <row r="25" spans="1:6" ht="15" thickBot="1" x14ac:dyDescent="0.35">
      <c r="A25" s="1"/>
      <c r="B25" s="76">
        <v>0.5</v>
      </c>
      <c r="C25" s="48" t="s">
        <v>45</v>
      </c>
      <c r="D25" s="218"/>
      <c r="E25" s="214"/>
      <c r="F25" s="216"/>
    </row>
    <row r="26" spans="1:6" ht="7.5" customHeight="1" thickBot="1" x14ac:dyDescent="0.35">
      <c r="A26" s="1"/>
      <c r="B26" s="53"/>
      <c r="C26" s="50"/>
      <c r="D26" s="50"/>
      <c r="E26" s="50"/>
      <c r="F26" s="51"/>
    </row>
    <row r="27" spans="1:6" ht="15" thickBot="1" x14ac:dyDescent="0.35">
      <c r="A27" s="1"/>
      <c r="B27" s="220">
        <v>0.5</v>
      </c>
      <c r="C27" s="226" t="s">
        <v>110</v>
      </c>
      <c r="D27" s="46" t="s">
        <v>2</v>
      </c>
      <c r="E27" s="46"/>
      <c r="F27" s="47" t="s">
        <v>0</v>
      </c>
    </row>
    <row r="28" spans="1:6" x14ac:dyDescent="0.3">
      <c r="A28" s="1"/>
      <c r="B28" s="220"/>
      <c r="C28" s="226"/>
      <c r="D28" s="223">
        <f>E28</f>
        <v>0</v>
      </c>
      <c r="E28" s="213"/>
      <c r="F28" s="215" t="s">
        <v>147</v>
      </c>
    </row>
    <row r="29" spans="1:6" x14ac:dyDescent="0.3">
      <c r="A29" s="1"/>
      <c r="B29" s="220"/>
      <c r="C29" s="226"/>
      <c r="D29" s="224"/>
      <c r="E29" s="201"/>
      <c r="F29" s="205"/>
    </row>
    <row r="30" spans="1:6" x14ac:dyDescent="0.3">
      <c r="A30" s="1"/>
      <c r="B30" s="220">
        <v>0.5</v>
      </c>
      <c r="C30" s="226" t="s">
        <v>111</v>
      </c>
      <c r="D30" s="34" t="s">
        <v>38</v>
      </c>
      <c r="E30" s="38" t="s">
        <v>40</v>
      </c>
      <c r="F30" s="35" t="s">
        <v>39</v>
      </c>
    </row>
    <row r="31" spans="1:6" x14ac:dyDescent="0.3">
      <c r="A31" s="1"/>
      <c r="B31" s="220"/>
      <c r="C31" s="226"/>
      <c r="D31" s="217">
        <f>E31</f>
        <v>0</v>
      </c>
      <c r="E31" s="203"/>
      <c r="F31" s="207"/>
    </row>
    <row r="32" spans="1:6" ht="15" thickBot="1" x14ac:dyDescent="0.35">
      <c r="A32" s="1"/>
      <c r="B32" s="225"/>
      <c r="C32" s="227"/>
      <c r="D32" s="218"/>
      <c r="E32" s="214"/>
      <c r="F32" s="216"/>
    </row>
    <row r="33" spans="1:6" x14ac:dyDescent="0.3">
      <c r="A33" s="1"/>
      <c r="B33" s="1"/>
      <c r="C33" s="1"/>
      <c r="D33" s="1"/>
      <c r="E33" s="1"/>
      <c r="F33" s="1"/>
    </row>
    <row r="34" spans="1:6" ht="15" thickBot="1" x14ac:dyDescent="0.35">
      <c r="A34" s="1"/>
      <c r="B34" s="1"/>
      <c r="C34" s="1"/>
      <c r="D34" s="1"/>
      <c r="E34" s="1"/>
      <c r="F34" s="1"/>
    </row>
    <row r="35" spans="1:6" x14ac:dyDescent="0.3">
      <c r="A35" s="1"/>
      <c r="B35" s="17" t="s">
        <v>4</v>
      </c>
      <c r="C35" s="199" t="s">
        <v>104</v>
      </c>
      <c r="D35" s="18" t="s">
        <v>2</v>
      </c>
      <c r="E35" s="18" t="s">
        <v>3</v>
      </c>
      <c r="F35" s="19"/>
    </row>
    <row r="36" spans="1:6" ht="15" thickBot="1" x14ac:dyDescent="0.35">
      <c r="A36" s="1"/>
      <c r="B36" s="20">
        <v>0.4</v>
      </c>
      <c r="C36" s="200"/>
      <c r="D36" s="21" t="str" cm="1">
        <f t="array" ref="D36">GetGrade(D40, SUM(D48,D55,D62))</f>
        <v>F</v>
      </c>
      <c r="E36" s="22" t="str" cm="1">
        <f t="array" ref="E36">GetGrade(D43, SUM(D51,D58,D65))</f>
        <v>F</v>
      </c>
      <c r="F36" s="23"/>
    </row>
    <row r="37" spans="1:6" ht="13.95" customHeight="1" thickBot="1" x14ac:dyDescent="0.35">
      <c r="A37" s="1"/>
      <c r="B37" s="24"/>
      <c r="C37" s="25"/>
      <c r="D37" s="25"/>
      <c r="E37" s="26"/>
      <c r="F37" s="27"/>
    </row>
    <row r="38" spans="1:6" ht="15" thickBot="1" x14ac:dyDescent="0.35">
      <c r="A38" s="1"/>
      <c r="B38" s="28" t="s">
        <v>30</v>
      </c>
      <c r="C38" s="29" t="s">
        <v>29</v>
      </c>
      <c r="D38" s="30" t="s">
        <v>1</v>
      </c>
      <c r="E38" s="29"/>
      <c r="F38" s="31" t="s">
        <v>41</v>
      </c>
    </row>
    <row r="39" spans="1:6" ht="15" thickBot="1" x14ac:dyDescent="0.35">
      <c r="A39" s="1"/>
      <c r="B39" s="230" t="s">
        <v>95</v>
      </c>
      <c r="C39" s="232" t="s">
        <v>105</v>
      </c>
      <c r="D39" s="34" t="s">
        <v>2</v>
      </c>
      <c r="E39" s="34"/>
      <c r="F39" s="35" t="s">
        <v>0</v>
      </c>
    </row>
    <row r="40" spans="1:6" x14ac:dyDescent="0.3">
      <c r="A40" s="1"/>
      <c r="B40" s="231"/>
      <c r="C40" s="233"/>
      <c r="D40" s="228">
        <v>0</v>
      </c>
      <c r="E40" s="213"/>
      <c r="F40" s="215"/>
    </row>
    <row r="41" spans="1:6" ht="28.8" x14ac:dyDescent="0.3">
      <c r="A41" s="1"/>
      <c r="B41" s="37" t="s">
        <v>100</v>
      </c>
      <c r="C41" s="78" t="s">
        <v>106</v>
      </c>
      <c r="D41" s="211"/>
      <c r="E41" s="201"/>
      <c r="F41" s="205"/>
    </row>
    <row r="42" spans="1:6" ht="28.8" x14ac:dyDescent="0.3">
      <c r="A42" s="1"/>
      <c r="B42" s="37" t="s">
        <v>99</v>
      </c>
      <c r="C42" s="78" t="s">
        <v>107</v>
      </c>
      <c r="D42" s="34" t="s">
        <v>38</v>
      </c>
      <c r="E42" s="38"/>
      <c r="F42" s="35" t="s">
        <v>39</v>
      </c>
    </row>
    <row r="43" spans="1:6" x14ac:dyDescent="0.3">
      <c r="A43" s="1"/>
      <c r="B43" s="37" t="s">
        <v>98</v>
      </c>
      <c r="C43" s="78" t="s">
        <v>112</v>
      </c>
      <c r="D43" s="209">
        <f>E43*$B$36</f>
        <v>0</v>
      </c>
      <c r="E43" s="203"/>
      <c r="F43" s="207"/>
    </row>
    <row r="44" spans="1:6" ht="43.2" x14ac:dyDescent="0.3">
      <c r="A44" s="1"/>
      <c r="B44" s="37" t="s">
        <v>97</v>
      </c>
      <c r="C44" s="78" t="s">
        <v>108</v>
      </c>
      <c r="D44" s="210"/>
      <c r="E44" s="204"/>
      <c r="F44" s="208"/>
    </row>
    <row r="45" spans="1:6" ht="29.4" thickBot="1" x14ac:dyDescent="0.35">
      <c r="A45" s="1"/>
      <c r="B45" s="39" t="s">
        <v>96</v>
      </c>
      <c r="C45" s="79" t="s">
        <v>109</v>
      </c>
      <c r="D45" s="229"/>
      <c r="E45" s="214"/>
      <c r="F45" s="216"/>
    </row>
    <row r="46" spans="1:6" ht="7.5" customHeight="1" thickBot="1" x14ac:dyDescent="0.35">
      <c r="A46" s="1"/>
      <c r="B46" s="49"/>
      <c r="C46" s="50"/>
      <c r="D46" s="50"/>
      <c r="E46" s="50"/>
      <c r="F46" s="51"/>
    </row>
    <row r="47" spans="1:6" ht="15" thickBot="1" x14ac:dyDescent="0.35">
      <c r="A47" s="1"/>
      <c r="B47" s="219">
        <v>-0.5</v>
      </c>
      <c r="C47" s="221" t="s">
        <v>114</v>
      </c>
      <c r="D47" s="46" t="s">
        <v>2</v>
      </c>
      <c r="E47" s="46"/>
      <c r="F47" s="47" t="s">
        <v>0</v>
      </c>
    </row>
    <row r="48" spans="1:6" x14ac:dyDescent="0.3">
      <c r="A48" s="1"/>
      <c r="B48" s="220"/>
      <c r="C48" s="222"/>
      <c r="D48" s="223">
        <f>E48</f>
        <v>0</v>
      </c>
      <c r="E48" s="213"/>
      <c r="F48" s="215"/>
    </row>
    <row r="49" spans="1:6" x14ac:dyDescent="0.3">
      <c r="A49" s="1"/>
      <c r="B49" s="220"/>
      <c r="C49" s="222"/>
      <c r="D49" s="224"/>
      <c r="E49" s="201"/>
      <c r="F49" s="205"/>
    </row>
    <row r="50" spans="1:6" x14ac:dyDescent="0.3">
      <c r="A50" s="1"/>
      <c r="B50" s="77">
        <v>0</v>
      </c>
      <c r="C50" s="52" t="s">
        <v>101</v>
      </c>
      <c r="D50" s="34" t="s">
        <v>38</v>
      </c>
      <c r="E50" s="38"/>
      <c r="F50" s="35" t="s">
        <v>39</v>
      </c>
    </row>
    <row r="51" spans="1:6" x14ac:dyDescent="0.3">
      <c r="A51" s="1"/>
      <c r="B51" s="77">
        <v>0.5</v>
      </c>
      <c r="C51" s="52" t="s">
        <v>102</v>
      </c>
      <c r="D51" s="217">
        <f>E51</f>
        <v>0</v>
      </c>
      <c r="E51" s="203"/>
      <c r="F51" s="207"/>
    </row>
    <row r="52" spans="1:6" ht="15" thickBot="1" x14ac:dyDescent="0.35">
      <c r="A52" s="1"/>
      <c r="B52" s="76">
        <v>1</v>
      </c>
      <c r="C52" s="48" t="s">
        <v>103</v>
      </c>
      <c r="D52" s="218"/>
      <c r="E52" s="214"/>
      <c r="F52" s="216"/>
    </row>
    <row r="53" spans="1:6" ht="7.5" customHeight="1" thickBot="1" x14ac:dyDescent="0.35">
      <c r="A53" s="1"/>
      <c r="B53" s="49"/>
      <c r="C53" s="50"/>
      <c r="D53" s="50"/>
      <c r="E53" s="50"/>
      <c r="F53" s="51"/>
    </row>
    <row r="54" spans="1:6" ht="15" thickBot="1" x14ac:dyDescent="0.35">
      <c r="A54" s="1"/>
      <c r="B54" s="220">
        <v>0.5</v>
      </c>
      <c r="C54" s="226" t="s">
        <v>113</v>
      </c>
      <c r="D54" s="46" t="s">
        <v>2</v>
      </c>
      <c r="E54" s="46"/>
      <c r="F54" s="47" t="s">
        <v>0</v>
      </c>
    </row>
    <row r="55" spans="1:6" x14ac:dyDescent="0.3">
      <c r="A55" s="1"/>
      <c r="B55" s="220"/>
      <c r="C55" s="226"/>
      <c r="D55" s="223">
        <f>E55</f>
        <v>0</v>
      </c>
      <c r="E55" s="213"/>
      <c r="F55" s="215"/>
    </row>
    <row r="56" spans="1:6" x14ac:dyDescent="0.3">
      <c r="A56" s="1"/>
      <c r="B56" s="220"/>
      <c r="C56" s="226"/>
      <c r="D56" s="224"/>
      <c r="E56" s="201"/>
      <c r="F56" s="205"/>
    </row>
    <row r="57" spans="1:6" x14ac:dyDescent="0.3">
      <c r="A57" s="1"/>
      <c r="B57" s="220">
        <v>0.5</v>
      </c>
      <c r="C57" s="234" t="s">
        <v>82</v>
      </c>
      <c r="D57" s="34" t="s">
        <v>38</v>
      </c>
      <c r="E57" s="38"/>
      <c r="F57" s="35" t="s">
        <v>39</v>
      </c>
    </row>
    <row r="58" spans="1:6" x14ac:dyDescent="0.3">
      <c r="A58" s="1"/>
      <c r="B58" s="220"/>
      <c r="C58" s="226"/>
      <c r="D58" s="217">
        <f>E58</f>
        <v>0</v>
      </c>
      <c r="E58" s="203"/>
      <c r="F58" s="207"/>
    </row>
    <row r="59" spans="1:6" ht="15" thickBot="1" x14ac:dyDescent="0.35">
      <c r="A59" s="1"/>
      <c r="B59" s="225"/>
      <c r="C59" s="227"/>
      <c r="D59" s="218"/>
      <c r="E59" s="214"/>
      <c r="F59" s="216"/>
    </row>
    <row r="60" spans="1:6" ht="7.5" customHeight="1" thickBot="1" x14ac:dyDescent="0.35">
      <c r="A60" s="1"/>
      <c r="B60" s="49"/>
      <c r="C60" s="50"/>
      <c r="D60" s="50"/>
      <c r="E60" s="50"/>
      <c r="F60" s="51"/>
    </row>
    <row r="61" spans="1:6" ht="15" thickBot="1" x14ac:dyDescent="0.35">
      <c r="A61" s="1"/>
      <c r="B61" s="243">
        <v>-0.5</v>
      </c>
      <c r="C61" s="246" t="s">
        <v>49</v>
      </c>
      <c r="D61" s="46" t="s">
        <v>2</v>
      </c>
      <c r="E61" s="46"/>
      <c r="F61" s="47" t="s">
        <v>0</v>
      </c>
    </row>
    <row r="62" spans="1:6" x14ac:dyDescent="0.3">
      <c r="A62" s="1"/>
      <c r="B62" s="244"/>
      <c r="C62" s="247"/>
      <c r="D62" s="223">
        <f>E62</f>
        <v>0</v>
      </c>
      <c r="E62" s="213"/>
      <c r="F62" s="215"/>
    </row>
    <row r="63" spans="1:6" x14ac:dyDescent="0.3">
      <c r="A63" s="1"/>
      <c r="B63" s="244"/>
      <c r="C63" s="247"/>
      <c r="D63" s="224"/>
      <c r="E63" s="201"/>
      <c r="F63" s="205"/>
    </row>
    <row r="64" spans="1:6" x14ac:dyDescent="0.3">
      <c r="A64" s="1"/>
      <c r="B64" s="244"/>
      <c r="C64" s="247"/>
      <c r="D64" s="34" t="s">
        <v>38</v>
      </c>
      <c r="E64" s="38"/>
      <c r="F64" s="35" t="s">
        <v>39</v>
      </c>
    </row>
    <row r="65" spans="1:6" x14ac:dyDescent="0.3">
      <c r="A65" s="1"/>
      <c r="B65" s="244"/>
      <c r="C65" s="247"/>
      <c r="D65" s="217">
        <f>E65</f>
        <v>0</v>
      </c>
      <c r="E65" s="203"/>
      <c r="F65" s="207"/>
    </row>
    <row r="66" spans="1:6" ht="15" thickBot="1" x14ac:dyDescent="0.35">
      <c r="A66" s="1"/>
      <c r="B66" s="245"/>
      <c r="C66" s="248"/>
      <c r="D66" s="218"/>
      <c r="E66" s="214"/>
      <c r="F66" s="216"/>
    </row>
    <row r="67" spans="1:6" x14ac:dyDescent="0.3">
      <c r="A67" s="1"/>
      <c r="B67" s="1"/>
      <c r="C67" s="1"/>
      <c r="D67" s="1"/>
      <c r="E67" s="1"/>
      <c r="F67" s="1"/>
    </row>
    <row r="68" spans="1:6" ht="15" thickBot="1" x14ac:dyDescent="0.35">
      <c r="A68" s="1"/>
      <c r="B68" s="1"/>
      <c r="C68" s="1"/>
      <c r="D68" s="1"/>
      <c r="E68" s="1"/>
      <c r="F68" s="1"/>
    </row>
    <row r="69" spans="1:6" x14ac:dyDescent="0.3">
      <c r="A69" s="1"/>
      <c r="B69" s="17" t="s">
        <v>4</v>
      </c>
      <c r="C69" s="249" t="s">
        <v>50</v>
      </c>
      <c r="D69" s="18" t="s">
        <v>2</v>
      </c>
      <c r="E69" s="18" t="s">
        <v>3</v>
      </c>
      <c r="F69" s="19"/>
    </row>
    <row r="70" spans="1:6" ht="15" thickBot="1" x14ac:dyDescent="0.35">
      <c r="A70" s="1"/>
      <c r="B70" s="20">
        <v>0.2</v>
      </c>
      <c r="C70" s="250"/>
      <c r="D70" s="21" t="str" cm="1">
        <f t="array" ref="D70">GetGrade(D74, SUM(D83,D90))</f>
        <v>F</v>
      </c>
      <c r="E70" s="22" t="str" cm="1">
        <f t="array" ref="E70">GetGrade(D74, SUM(D83,D90))</f>
        <v>F</v>
      </c>
      <c r="F70" s="23"/>
    </row>
    <row r="71" spans="1:6" ht="24" thickBot="1" x14ac:dyDescent="0.35">
      <c r="A71" s="1"/>
      <c r="B71" s="24"/>
      <c r="C71" s="25"/>
      <c r="D71" s="25"/>
      <c r="E71" s="26"/>
      <c r="F71" s="27"/>
    </row>
    <row r="72" spans="1:6" ht="15" thickBot="1" x14ac:dyDescent="0.35">
      <c r="A72" s="1"/>
      <c r="B72" s="28" t="s">
        <v>30</v>
      </c>
      <c r="C72" s="29" t="s">
        <v>29</v>
      </c>
      <c r="D72" s="30" t="s">
        <v>1</v>
      </c>
      <c r="E72" s="29"/>
      <c r="F72" s="31" t="s">
        <v>41</v>
      </c>
    </row>
    <row r="73" spans="1:6" ht="15" thickBot="1" x14ac:dyDescent="0.35">
      <c r="A73" s="1"/>
      <c r="B73" s="230" t="s">
        <v>95</v>
      </c>
      <c r="C73" s="235" t="s">
        <v>88</v>
      </c>
      <c r="D73" s="34" t="s">
        <v>2</v>
      </c>
      <c r="E73" s="34"/>
      <c r="F73" s="35" t="s">
        <v>0</v>
      </c>
    </row>
    <row r="74" spans="1:6" x14ac:dyDescent="0.3">
      <c r="A74" s="1"/>
      <c r="B74" s="231"/>
      <c r="C74" s="236"/>
      <c r="D74" s="237">
        <f>E74*$B$70</f>
        <v>0</v>
      </c>
      <c r="E74" s="213"/>
      <c r="F74" s="240"/>
    </row>
    <row r="75" spans="1:6" x14ac:dyDescent="0.3">
      <c r="A75" s="1"/>
      <c r="B75" s="263" t="s">
        <v>100</v>
      </c>
      <c r="C75" s="246" t="s">
        <v>51</v>
      </c>
      <c r="D75" s="238"/>
      <c r="E75" s="201"/>
      <c r="F75" s="241"/>
    </row>
    <row r="76" spans="1:6" ht="7.5" customHeight="1" thickBot="1" x14ac:dyDescent="0.35">
      <c r="A76" s="1"/>
      <c r="B76" s="231"/>
      <c r="C76" s="233"/>
      <c r="D76" s="239"/>
      <c r="E76" s="202"/>
      <c r="F76" s="242"/>
    </row>
    <row r="77" spans="1:6" x14ac:dyDescent="0.3">
      <c r="A77" s="1"/>
      <c r="B77" s="74" t="s">
        <v>99</v>
      </c>
      <c r="C77" s="36" t="s">
        <v>52</v>
      </c>
      <c r="D77" s="34" t="s">
        <v>38</v>
      </c>
      <c r="E77" s="38"/>
      <c r="F77" s="35" t="s">
        <v>39</v>
      </c>
    </row>
    <row r="78" spans="1:6" x14ac:dyDescent="0.3">
      <c r="A78" s="1"/>
      <c r="B78" s="74" t="s">
        <v>98</v>
      </c>
      <c r="C78" s="36" t="s">
        <v>53</v>
      </c>
      <c r="D78" s="259">
        <f>E78*$B$70</f>
        <v>0</v>
      </c>
      <c r="E78" s="203"/>
      <c r="F78" s="253"/>
    </row>
    <row r="79" spans="1:6" x14ac:dyDescent="0.3">
      <c r="A79" s="1"/>
      <c r="B79" s="74" t="s">
        <v>97</v>
      </c>
      <c r="C79" s="36" t="s">
        <v>54</v>
      </c>
      <c r="D79" s="260"/>
      <c r="E79" s="204"/>
      <c r="F79" s="262"/>
    </row>
    <row r="80" spans="1:6" ht="15" thickBot="1" x14ac:dyDescent="0.35">
      <c r="A80" s="1"/>
      <c r="B80" s="39" t="s">
        <v>96</v>
      </c>
      <c r="C80" s="40" t="s">
        <v>55</v>
      </c>
      <c r="D80" s="261"/>
      <c r="E80" s="214"/>
      <c r="F80" s="254"/>
    </row>
    <row r="81" spans="1:6" ht="15" thickBot="1" x14ac:dyDescent="0.35">
      <c r="A81" s="1"/>
      <c r="B81" s="49"/>
      <c r="C81" s="50"/>
      <c r="D81" s="50"/>
      <c r="E81" s="50"/>
      <c r="F81" s="51"/>
    </row>
    <row r="82" spans="1:6" ht="15" thickBot="1" x14ac:dyDescent="0.35">
      <c r="A82" s="1"/>
      <c r="B82" s="255">
        <v>-1</v>
      </c>
      <c r="C82" s="257" t="s">
        <v>89</v>
      </c>
      <c r="D82" s="46" t="s">
        <v>2</v>
      </c>
      <c r="E82" s="46"/>
      <c r="F82" s="47" t="s">
        <v>0</v>
      </c>
    </row>
    <row r="83" spans="1:6" ht="7.5" customHeight="1" x14ac:dyDescent="0.3">
      <c r="A83" s="1"/>
      <c r="B83" s="256"/>
      <c r="C83" s="258"/>
      <c r="D83" s="264">
        <f>E83</f>
        <v>0</v>
      </c>
      <c r="E83" s="213"/>
      <c r="F83" s="240"/>
    </row>
    <row r="84" spans="1:6" x14ac:dyDescent="0.3">
      <c r="A84" s="1"/>
      <c r="B84" s="80">
        <v>-0.5</v>
      </c>
      <c r="C84" s="54" t="s">
        <v>90</v>
      </c>
      <c r="D84" s="265"/>
      <c r="E84" s="201"/>
      <c r="F84" s="241"/>
    </row>
    <row r="85" spans="1:6" x14ac:dyDescent="0.3">
      <c r="A85" s="1"/>
      <c r="B85" s="80">
        <v>0</v>
      </c>
      <c r="C85" s="75" t="s">
        <v>91</v>
      </c>
      <c r="D85" s="34" t="s">
        <v>38</v>
      </c>
      <c r="E85" s="38"/>
      <c r="F85" s="35" t="s">
        <v>39</v>
      </c>
    </row>
    <row r="86" spans="1:6" x14ac:dyDescent="0.3">
      <c r="A86" s="1"/>
      <c r="B86" s="80">
        <v>0.5</v>
      </c>
      <c r="C86" s="75" t="s">
        <v>92</v>
      </c>
      <c r="D86" s="251">
        <f>E86</f>
        <v>0</v>
      </c>
      <c r="E86" s="203"/>
      <c r="F86" s="253"/>
    </row>
    <row r="87" spans="1:6" ht="15" thickBot="1" x14ac:dyDescent="0.35">
      <c r="A87" s="1"/>
      <c r="B87" s="81">
        <v>0.1</v>
      </c>
      <c r="C87" s="48" t="s">
        <v>93</v>
      </c>
      <c r="D87" s="252"/>
      <c r="E87" s="214"/>
      <c r="F87" s="254"/>
    </row>
    <row r="88" spans="1:6" ht="15" thickBot="1" x14ac:dyDescent="0.35">
      <c r="A88" s="1"/>
      <c r="B88" s="49"/>
      <c r="C88" s="50"/>
      <c r="D88" s="50"/>
      <c r="E88" s="50"/>
      <c r="F88" s="51"/>
    </row>
    <row r="89" spans="1:6" ht="15" thickBot="1" x14ac:dyDescent="0.35">
      <c r="A89" s="1"/>
      <c r="B89" s="268">
        <v>-0.5</v>
      </c>
      <c r="C89" s="246" t="s">
        <v>49</v>
      </c>
      <c r="D89" s="46" t="s">
        <v>2</v>
      </c>
      <c r="E89" s="46"/>
      <c r="F89" s="47" t="s">
        <v>0</v>
      </c>
    </row>
    <row r="90" spans="1:6" ht="7.5" customHeight="1" x14ac:dyDescent="0.3">
      <c r="A90" s="1"/>
      <c r="B90" s="269"/>
      <c r="C90" s="247"/>
      <c r="D90" s="237">
        <f>E90</f>
        <v>0</v>
      </c>
      <c r="E90" s="213"/>
      <c r="F90" s="240"/>
    </row>
    <row r="91" spans="1:6" x14ac:dyDescent="0.3">
      <c r="A91" s="1"/>
      <c r="B91" s="269"/>
      <c r="C91" s="247"/>
      <c r="D91" s="238"/>
      <c r="E91" s="201"/>
      <c r="F91" s="241"/>
    </row>
    <row r="92" spans="1:6" x14ac:dyDescent="0.3">
      <c r="A92" s="1"/>
      <c r="B92" s="269"/>
      <c r="C92" s="247"/>
      <c r="D92" s="34" t="s">
        <v>38</v>
      </c>
      <c r="E92" s="38"/>
      <c r="F92" s="35" t="s">
        <v>39</v>
      </c>
    </row>
    <row r="93" spans="1:6" x14ac:dyDescent="0.3">
      <c r="A93" s="1"/>
      <c r="B93" s="269"/>
      <c r="C93" s="247"/>
      <c r="D93" s="259">
        <f>E93</f>
        <v>0</v>
      </c>
      <c r="E93" s="203"/>
      <c r="F93" s="253"/>
    </row>
    <row r="94" spans="1:6" ht="15" thickBot="1" x14ac:dyDescent="0.35">
      <c r="A94" s="1"/>
      <c r="B94" s="270"/>
      <c r="C94" s="248"/>
      <c r="D94" s="261"/>
      <c r="E94" s="214"/>
      <c r="F94" s="254"/>
    </row>
    <row r="95" spans="1:6" x14ac:dyDescent="0.3">
      <c r="A95" s="1"/>
      <c r="B95" s="1"/>
      <c r="C95" s="1"/>
      <c r="D95" s="1"/>
      <c r="E95" s="1"/>
      <c r="F95" s="1"/>
    </row>
    <row r="96" spans="1:6" ht="15" thickBot="1" x14ac:dyDescent="0.35">
      <c r="A96" s="1"/>
      <c r="B96" s="1"/>
      <c r="C96" s="1"/>
      <c r="D96" s="1"/>
      <c r="E96" s="1"/>
      <c r="F96" s="1"/>
    </row>
    <row r="97" spans="1:6" x14ac:dyDescent="0.3">
      <c r="A97" s="1"/>
      <c r="B97" s="17" t="s">
        <v>4</v>
      </c>
      <c r="C97" s="249" t="s">
        <v>61</v>
      </c>
      <c r="D97" s="18" t="s">
        <v>2</v>
      </c>
      <c r="E97" s="18" t="s">
        <v>3</v>
      </c>
      <c r="F97" s="19"/>
    </row>
    <row r="98" spans="1:6" ht="15" thickBot="1" x14ac:dyDescent="0.35">
      <c r="A98" s="1"/>
      <c r="B98" s="20">
        <v>0.2</v>
      </c>
      <c r="C98" s="250"/>
      <c r="D98" s="21" t="str" cm="1">
        <f t="array" ref="D98">GetGrade(D74, SUM(D102,D111,D118,D125))</f>
        <v>F</v>
      </c>
      <c r="E98" s="22" t="str" cm="1">
        <f t="array" ref="E98">GetGrade(D74, SUM(D106,D114,D121,D128))</f>
        <v>F</v>
      </c>
      <c r="F98" s="23"/>
    </row>
    <row r="99" spans="1:6" ht="24" thickBot="1" x14ac:dyDescent="0.35">
      <c r="A99" s="1"/>
      <c r="B99" s="24"/>
      <c r="C99" s="25"/>
      <c r="D99" s="25"/>
      <c r="E99" s="26"/>
      <c r="F99" s="27"/>
    </row>
    <row r="100" spans="1:6" ht="15" thickBot="1" x14ac:dyDescent="0.35">
      <c r="A100" s="1"/>
      <c r="B100" s="28" t="s">
        <v>30</v>
      </c>
      <c r="C100" s="29" t="s">
        <v>29</v>
      </c>
      <c r="D100" s="30" t="s">
        <v>1</v>
      </c>
      <c r="E100" s="29"/>
      <c r="F100" s="31" t="s">
        <v>41</v>
      </c>
    </row>
    <row r="101" spans="1:6" ht="15" thickBot="1" x14ac:dyDescent="0.35">
      <c r="A101" s="1"/>
      <c r="B101" s="230" t="s">
        <v>95</v>
      </c>
      <c r="C101" s="235" t="s">
        <v>94</v>
      </c>
      <c r="D101" s="34" t="s">
        <v>2</v>
      </c>
      <c r="E101" s="34"/>
      <c r="F101" s="35" t="s">
        <v>0</v>
      </c>
    </row>
    <row r="102" spans="1:6" x14ac:dyDescent="0.3">
      <c r="A102" s="1"/>
      <c r="B102" s="231"/>
      <c r="C102" s="233"/>
      <c r="D102" s="228">
        <f>E102*$B$98</f>
        <v>0</v>
      </c>
      <c r="E102" s="213"/>
      <c r="F102" s="215"/>
    </row>
    <row r="103" spans="1:6" x14ac:dyDescent="0.3">
      <c r="A103" s="1"/>
      <c r="B103" s="263" t="s">
        <v>100</v>
      </c>
      <c r="C103" s="246" t="s">
        <v>56</v>
      </c>
      <c r="D103" s="211"/>
      <c r="E103" s="201"/>
      <c r="F103" s="205"/>
    </row>
    <row r="104" spans="1:6" ht="15" thickBot="1" x14ac:dyDescent="0.35">
      <c r="A104" s="1"/>
      <c r="B104" s="231"/>
      <c r="C104" s="233"/>
      <c r="D104" s="212"/>
      <c r="E104" s="202"/>
      <c r="F104" s="206"/>
    </row>
    <row r="105" spans="1:6" x14ac:dyDescent="0.3">
      <c r="A105" s="1"/>
      <c r="B105" s="37" t="s">
        <v>99</v>
      </c>
      <c r="C105" s="36" t="s">
        <v>57</v>
      </c>
      <c r="D105" s="34" t="s">
        <v>38</v>
      </c>
      <c r="E105" s="38"/>
      <c r="F105" s="35" t="s">
        <v>39</v>
      </c>
    </row>
    <row r="106" spans="1:6" x14ac:dyDescent="0.3">
      <c r="A106" s="1"/>
      <c r="B106" s="37" t="s">
        <v>98</v>
      </c>
      <c r="C106" s="36" t="s">
        <v>58</v>
      </c>
      <c r="D106" s="209">
        <f>E106*$B$98</f>
        <v>0</v>
      </c>
      <c r="E106" s="203"/>
      <c r="F106" s="207"/>
    </row>
    <row r="107" spans="1:6" x14ac:dyDescent="0.3">
      <c r="A107" s="1"/>
      <c r="B107" s="37" t="s">
        <v>97</v>
      </c>
      <c r="C107" s="36" t="s">
        <v>59</v>
      </c>
      <c r="D107" s="210"/>
      <c r="E107" s="204"/>
      <c r="F107" s="208"/>
    </row>
    <row r="108" spans="1:6" ht="15" thickBot="1" x14ac:dyDescent="0.35">
      <c r="A108" s="1"/>
      <c r="B108" s="39" t="s">
        <v>96</v>
      </c>
      <c r="C108" s="40" t="s">
        <v>60</v>
      </c>
      <c r="D108" s="229"/>
      <c r="E108" s="214"/>
      <c r="F108" s="216"/>
    </row>
    <row r="109" spans="1:6" ht="15" thickBot="1" x14ac:dyDescent="0.35">
      <c r="A109" s="1"/>
      <c r="B109" s="49"/>
      <c r="C109" s="50"/>
      <c r="D109" s="50"/>
      <c r="E109" s="50"/>
      <c r="F109" s="51"/>
    </row>
    <row r="110" spans="1:6" ht="15" thickBot="1" x14ac:dyDescent="0.35">
      <c r="A110" s="1"/>
      <c r="B110" s="266">
        <v>-1</v>
      </c>
      <c r="C110" s="221" t="s">
        <v>62</v>
      </c>
      <c r="D110" s="46" t="s">
        <v>2</v>
      </c>
      <c r="E110" s="46"/>
      <c r="F110" s="47" t="s">
        <v>0</v>
      </c>
    </row>
    <row r="111" spans="1:6" x14ac:dyDescent="0.3">
      <c r="A111" s="1"/>
      <c r="B111" s="267"/>
      <c r="C111" s="222"/>
      <c r="D111" s="223">
        <f>E111</f>
        <v>0</v>
      </c>
      <c r="E111" s="213"/>
      <c r="F111" s="215"/>
    </row>
    <row r="112" spans="1:6" x14ac:dyDescent="0.3">
      <c r="A112" s="1"/>
      <c r="B112" s="267"/>
      <c r="C112" s="222"/>
      <c r="D112" s="224"/>
      <c r="E112" s="201"/>
      <c r="F112" s="205"/>
    </row>
    <row r="113" spans="1:6" x14ac:dyDescent="0.3">
      <c r="A113" s="1"/>
      <c r="B113" s="80">
        <v>-0.5</v>
      </c>
      <c r="C113" s="52" t="s">
        <v>63</v>
      </c>
      <c r="D113" s="34" t="s">
        <v>38</v>
      </c>
      <c r="E113" s="38"/>
      <c r="F113" s="35" t="s">
        <v>39</v>
      </c>
    </row>
    <row r="114" spans="1:6" x14ac:dyDescent="0.3">
      <c r="A114" s="1"/>
      <c r="B114" s="80">
        <v>0</v>
      </c>
      <c r="C114" s="52" t="s">
        <v>64</v>
      </c>
      <c r="D114" s="217">
        <f>E114</f>
        <v>0</v>
      </c>
      <c r="E114" s="203"/>
      <c r="F114" s="207"/>
    </row>
    <row r="115" spans="1:6" ht="15" thickBot="1" x14ac:dyDescent="0.35">
      <c r="A115" s="1"/>
      <c r="B115" s="81">
        <v>0.5</v>
      </c>
      <c r="C115" s="48" t="s">
        <v>65</v>
      </c>
      <c r="D115" s="218"/>
      <c r="E115" s="214"/>
      <c r="F115" s="216"/>
    </row>
    <row r="116" spans="1:6" ht="15" thickBot="1" x14ac:dyDescent="0.35">
      <c r="A116" s="1"/>
      <c r="B116" s="49"/>
      <c r="C116" s="50"/>
      <c r="D116" s="50"/>
      <c r="E116" s="50"/>
      <c r="F116" s="51"/>
    </row>
    <row r="117" spans="1:6" ht="15" thickBot="1" x14ac:dyDescent="0.35">
      <c r="A117" s="1"/>
      <c r="B117" s="268">
        <v>0.5</v>
      </c>
      <c r="C117" s="246" t="s">
        <v>66</v>
      </c>
      <c r="D117" s="46" t="s">
        <v>2</v>
      </c>
      <c r="E117" s="46"/>
      <c r="F117" s="47" t="s">
        <v>0</v>
      </c>
    </row>
    <row r="118" spans="1:6" x14ac:dyDescent="0.3">
      <c r="A118" s="1"/>
      <c r="B118" s="269"/>
      <c r="C118" s="247"/>
      <c r="D118" s="223">
        <f>E118</f>
        <v>0</v>
      </c>
      <c r="E118" s="213"/>
      <c r="F118" s="215"/>
    </row>
    <row r="119" spans="1:6" x14ac:dyDescent="0.3">
      <c r="A119" s="1"/>
      <c r="B119" s="269"/>
      <c r="C119" s="247"/>
      <c r="D119" s="224"/>
      <c r="E119" s="201"/>
      <c r="F119" s="205"/>
    </row>
    <row r="120" spans="1:6" x14ac:dyDescent="0.3">
      <c r="A120" s="1"/>
      <c r="B120" s="269"/>
      <c r="C120" s="247"/>
      <c r="D120" s="34" t="s">
        <v>38</v>
      </c>
      <c r="E120" s="38"/>
      <c r="F120" s="35" t="s">
        <v>39</v>
      </c>
    </row>
    <row r="121" spans="1:6" ht="44.25" customHeight="1" x14ac:dyDescent="0.3">
      <c r="A121" s="1"/>
      <c r="B121" s="269"/>
      <c r="C121" s="247"/>
      <c r="D121" s="217">
        <f>E121</f>
        <v>0</v>
      </c>
      <c r="E121" s="203"/>
      <c r="F121" s="207"/>
    </row>
    <row r="122" spans="1:6" ht="15" thickBot="1" x14ac:dyDescent="0.35">
      <c r="A122" s="1"/>
      <c r="B122" s="270"/>
      <c r="C122" s="248"/>
      <c r="D122" s="218"/>
      <c r="E122" s="214"/>
      <c r="F122" s="216"/>
    </row>
    <row r="123" spans="1:6" ht="15" thickBot="1" x14ac:dyDescent="0.35">
      <c r="A123" s="1"/>
      <c r="B123" s="49"/>
      <c r="C123" s="50"/>
      <c r="D123" s="50"/>
      <c r="E123" s="50"/>
      <c r="F123" s="51"/>
    </row>
    <row r="124" spans="1:6" ht="15" thickBot="1" x14ac:dyDescent="0.35">
      <c r="A124" s="1"/>
      <c r="B124" s="266">
        <v>0</v>
      </c>
      <c r="C124" s="221" t="s">
        <v>67</v>
      </c>
      <c r="D124" s="46" t="s">
        <v>2</v>
      </c>
      <c r="E124" s="46"/>
      <c r="F124" s="47" t="s">
        <v>0</v>
      </c>
    </row>
    <row r="125" spans="1:6" x14ac:dyDescent="0.3">
      <c r="A125" s="1"/>
      <c r="B125" s="267"/>
      <c r="C125" s="222"/>
      <c r="D125" s="223">
        <f>E125</f>
        <v>0</v>
      </c>
      <c r="E125" s="213"/>
      <c r="F125" s="215"/>
    </row>
    <row r="126" spans="1:6" x14ac:dyDescent="0.3">
      <c r="A126" s="1"/>
      <c r="B126" s="267"/>
      <c r="C126" s="222"/>
      <c r="D126" s="224"/>
      <c r="E126" s="201"/>
      <c r="F126" s="205"/>
    </row>
    <row r="127" spans="1:6" x14ac:dyDescent="0.3">
      <c r="B127" s="267">
        <v>0.5</v>
      </c>
      <c r="C127" s="222" t="s">
        <v>68</v>
      </c>
      <c r="D127" s="34" t="s">
        <v>38</v>
      </c>
      <c r="E127" s="38"/>
      <c r="F127" s="35" t="s">
        <v>39</v>
      </c>
    </row>
    <row r="128" spans="1:6" x14ac:dyDescent="0.3">
      <c r="B128" s="267"/>
      <c r="C128" s="222"/>
      <c r="D128" s="217">
        <f>E128</f>
        <v>0</v>
      </c>
      <c r="E128" s="203"/>
      <c r="F128" s="207"/>
    </row>
    <row r="129" spans="2:6" ht="15" thickBot="1" x14ac:dyDescent="0.35">
      <c r="B129" s="81">
        <v>1</v>
      </c>
      <c r="C129" s="48" t="s">
        <v>69</v>
      </c>
      <c r="D129" s="218"/>
      <c r="E129" s="214"/>
      <c r="F129" s="216"/>
    </row>
    <row r="130" spans="2:6" x14ac:dyDescent="0.3">
      <c r="B130" s="1"/>
      <c r="C130" s="1"/>
      <c r="D130" s="1"/>
      <c r="E130" s="1"/>
      <c r="F130" s="1"/>
    </row>
    <row r="131" spans="2:6" ht="15" thickBot="1" x14ac:dyDescent="0.35">
      <c r="B131" s="1"/>
      <c r="C131" s="1"/>
      <c r="D131" s="1"/>
      <c r="E131" s="1"/>
      <c r="F131" s="1"/>
    </row>
    <row r="132" spans="2:6" x14ac:dyDescent="0.3">
      <c r="B132" s="17"/>
      <c r="C132" s="199" t="s">
        <v>70</v>
      </c>
      <c r="D132" s="18" t="s">
        <v>2</v>
      </c>
      <c r="E132" s="18" t="s">
        <v>3</v>
      </c>
      <c r="F132" s="19"/>
    </row>
    <row r="133" spans="2:6" ht="15" thickBot="1" x14ac:dyDescent="0.35">
      <c r="B133" s="20"/>
      <c r="C133" s="200"/>
      <c r="D133" s="21">
        <f>D137</f>
        <v>0</v>
      </c>
      <c r="E133" s="22">
        <f>D140</f>
        <v>0</v>
      </c>
      <c r="F133" s="23"/>
    </row>
    <row r="134" spans="2:6" ht="24" thickBot="1" x14ac:dyDescent="0.35">
      <c r="B134" s="24"/>
      <c r="C134" s="25"/>
      <c r="D134" s="25"/>
      <c r="E134" s="26"/>
      <c r="F134" s="27"/>
    </row>
    <row r="135" spans="2:6" ht="15" thickBot="1" x14ac:dyDescent="0.35">
      <c r="B135" s="28" t="s">
        <v>30</v>
      </c>
      <c r="C135" s="29" t="s">
        <v>29</v>
      </c>
      <c r="D135" s="30" t="s">
        <v>1</v>
      </c>
      <c r="E135" s="29"/>
      <c r="F135" s="31" t="s">
        <v>41</v>
      </c>
    </row>
    <row r="136" spans="2:6" ht="15" thickBot="1" x14ac:dyDescent="0.35">
      <c r="B136" s="266">
        <v>-0.5</v>
      </c>
      <c r="C136" s="221" t="s">
        <v>115</v>
      </c>
      <c r="D136" s="46" t="s">
        <v>2</v>
      </c>
      <c r="E136" s="46"/>
      <c r="F136" s="47" t="s">
        <v>0</v>
      </c>
    </row>
    <row r="137" spans="2:6" x14ac:dyDescent="0.3">
      <c r="B137" s="267"/>
      <c r="C137" s="222"/>
      <c r="D137" s="223">
        <f>E137</f>
        <v>0</v>
      </c>
      <c r="E137" s="213"/>
      <c r="F137" s="215"/>
    </row>
    <row r="138" spans="2:6" x14ac:dyDescent="0.3">
      <c r="B138" s="267"/>
      <c r="C138" s="222"/>
      <c r="D138" s="224"/>
      <c r="E138" s="201"/>
      <c r="F138" s="205"/>
    </row>
    <row r="139" spans="2:6" x14ac:dyDescent="0.3">
      <c r="B139" s="80">
        <v>-0.5</v>
      </c>
      <c r="C139" s="52" t="s">
        <v>117</v>
      </c>
      <c r="D139" s="34" t="s">
        <v>38</v>
      </c>
      <c r="E139" s="38"/>
      <c r="F139" s="35" t="s">
        <v>39</v>
      </c>
    </row>
    <row r="140" spans="2:6" ht="28.8" x14ac:dyDescent="0.3">
      <c r="B140" s="80">
        <v>-1</v>
      </c>
      <c r="C140" s="55" t="s">
        <v>83</v>
      </c>
      <c r="D140" s="217">
        <f>E140</f>
        <v>0</v>
      </c>
      <c r="E140" s="203"/>
      <c r="F140" s="207"/>
    </row>
    <row r="141" spans="2:6" ht="15" thickBot="1" x14ac:dyDescent="0.35">
      <c r="B141" s="81">
        <v>-0.5</v>
      </c>
      <c r="C141" s="48" t="s">
        <v>71</v>
      </c>
      <c r="D141" s="218"/>
      <c r="E141" s="214"/>
      <c r="F141" s="216"/>
    </row>
    <row r="142" spans="2:6" x14ac:dyDescent="0.3">
      <c r="B142" s="1"/>
      <c r="C142" s="1"/>
      <c r="D142" s="1"/>
      <c r="E142" s="1"/>
      <c r="F142" s="1"/>
    </row>
    <row r="143" spans="2:6" ht="15" thickBot="1" x14ac:dyDescent="0.35">
      <c r="B143" s="1"/>
      <c r="C143" s="1"/>
      <c r="D143" s="1"/>
      <c r="E143" s="1"/>
      <c r="F143" s="1"/>
    </row>
    <row r="144" spans="2:6" x14ac:dyDescent="0.3">
      <c r="B144" s="17"/>
      <c r="C144" s="199" t="s">
        <v>76</v>
      </c>
      <c r="D144" s="18" t="s">
        <v>2</v>
      </c>
      <c r="E144" s="18" t="s">
        <v>3</v>
      </c>
      <c r="F144" s="19"/>
    </row>
    <row r="145" spans="2:6" ht="15" thickBot="1" x14ac:dyDescent="0.35">
      <c r="B145" s="20"/>
      <c r="C145" s="200"/>
      <c r="D145" s="21">
        <f>D149</f>
        <v>0</v>
      </c>
      <c r="E145" s="22">
        <f>D156</f>
        <v>0</v>
      </c>
      <c r="F145" s="23"/>
    </row>
    <row r="146" spans="2:6" ht="24" thickBot="1" x14ac:dyDescent="0.35">
      <c r="B146" s="24"/>
      <c r="C146" s="25"/>
      <c r="D146" s="25"/>
      <c r="E146" s="26"/>
      <c r="F146" s="27"/>
    </row>
    <row r="147" spans="2:6" ht="15" thickBot="1" x14ac:dyDescent="0.35">
      <c r="B147" s="56" t="s">
        <v>30</v>
      </c>
      <c r="C147" s="38" t="s">
        <v>29</v>
      </c>
      <c r="D147" s="30" t="s">
        <v>1</v>
      </c>
      <c r="E147" s="29"/>
      <c r="F147" s="31" t="s">
        <v>41</v>
      </c>
    </row>
    <row r="148" spans="2:6" ht="15" thickBot="1" x14ac:dyDescent="0.35">
      <c r="B148" s="267">
        <v>-1</v>
      </c>
      <c r="C148" s="226" t="s">
        <v>72</v>
      </c>
      <c r="D148" s="46" t="s">
        <v>2</v>
      </c>
      <c r="E148" s="46"/>
      <c r="F148" s="47" t="s">
        <v>0</v>
      </c>
    </row>
    <row r="149" spans="2:6" x14ac:dyDescent="0.3">
      <c r="B149" s="267"/>
      <c r="C149" s="226"/>
      <c r="D149" s="228">
        <f>E149</f>
        <v>0</v>
      </c>
      <c r="E149" s="274"/>
      <c r="F149" s="276"/>
    </row>
    <row r="150" spans="2:6" x14ac:dyDescent="0.3">
      <c r="B150" s="80">
        <v>-0.5</v>
      </c>
      <c r="C150" s="57" t="s">
        <v>73</v>
      </c>
      <c r="D150" s="211"/>
      <c r="E150" s="275"/>
      <c r="F150" s="277"/>
    </row>
    <row r="151" spans="2:6" x14ac:dyDescent="0.3">
      <c r="B151" s="80">
        <v>-1</v>
      </c>
      <c r="C151" s="4" t="s">
        <v>74</v>
      </c>
      <c r="D151" s="211"/>
      <c r="E151" s="275"/>
      <c r="F151" s="277"/>
    </row>
    <row r="152" spans="2:6" ht="28.8" x14ac:dyDescent="0.3">
      <c r="B152" s="80">
        <v>-0.5</v>
      </c>
      <c r="C152" s="58" t="s">
        <v>75</v>
      </c>
      <c r="D152" s="211"/>
      <c r="E152" s="275"/>
      <c r="F152" s="277"/>
    </row>
    <row r="153" spans="2:6" x14ac:dyDescent="0.3">
      <c r="B153" s="80">
        <v>-0.5</v>
      </c>
      <c r="C153" s="4" t="s">
        <v>116</v>
      </c>
      <c r="D153" s="211"/>
      <c r="E153" s="275"/>
      <c r="F153" s="277"/>
    </row>
    <row r="154" spans="2:6" ht="43.2" x14ac:dyDescent="0.3">
      <c r="B154" s="80">
        <v>-0.5</v>
      </c>
      <c r="C154" s="59" t="s">
        <v>121</v>
      </c>
      <c r="D154" s="211"/>
      <c r="E154" s="275"/>
      <c r="F154" s="277"/>
    </row>
    <row r="155" spans="2:6" ht="72" x14ac:dyDescent="0.3">
      <c r="B155" s="80">
        <v>-0.5</v>
      </c>
      <c r="C155" s="59" t="s">
        <v>119</v>
      </c>
      <c r="D155" s="34" t="s">
        <v>38</v>
      </c>
      <c r="E155" s="38"/>
      <c r="F155" s="35" t="s">
        <v>39</v>
      </c>
    </row>
    <row r="156" spans="2:6" ht="216" x14ac:dyDescent="0.3">
      <c r="B156" s="80">
        <v>-0.5</v>
      </c>
      <c r="C156" s="59" t="s">
        <v>118</v>
      </c>
      <c r="D156" s="259">
        <v>0</v>
      </c>
      <c r="E156" s="203"/>
      <c r="F156" s="271"/>
    </row>
    <row r="157" spans="2:6" ht="57.6" x14ac:dyDescent="0.3">
      <c r="B157" s="80">
        <v>-0.5</v>
      </c>
      <c r="C157" s="58" t="s">
        <v>77</v>
      </c>
      <c r="D157" s="260"/>
      <c r="E157" s="204"/>
      <c r="F157" s="272"/>
    </row>
    <row r="158" spans="2:6" ht="28.8" x14ac:dyDescent="0.3">
      <c r="B158" s="82">
        <v>-0.5</v>
      </c>
      <c r="C158" s="60" t="s">
        <v>120</v>
      </c>
      <c r="D158" s="260"/>
      <c r="E158" s="204"/>
      <c r="F158" s="272"/>
    </row>
    <row r="159" spans="2:6" ht="87" thickBot="1" x14ac:dyDescent="0.35">
      <c r="B159" s="81">
        <v>-0.5</v>
      </c>
      <c r="C159" s="61" t="s">
        <v>78</v>
      </c>
      <c r="D159" s="261"/>
      <c r="E159" s="214"/>
      <c r="F159" s="273"/>
    </row>
  </sheetData>
  <sheetProtection selectLockedCells="1"/>
  <mergeCells count="154">
    <mergeCell ref="D156:D159"/>
    <mergeCell ref="E156:E159"/>
    <mergeCell ref="F156:F159"/>
    <mergeCell ref="D149:D154"/>
    <mergeCell ref="E149:E154"/>
    <mergeCell ref="F149:F154"/>
    <mergeCell ref="D140:D141"/>
    <mergeCell ref="E140:E141"/>
    <mergeCell ref="F140:F141"/>
    <mergeCell ref="C144:C145"/>
    <mergeCell ref="B148:B149"/>
    <mergeCell ref="C148:C149"/>
    <mergeCell ref="B127:B128"/>
    <mergeCell ref="C127:C128"/>
    <mergeCell ref="D128:D129"/>
    <mergeCell ref="E128:E129"/>
    <mergeCell ref="F128:F129"/>
    <mergeCell ref="B136:B138"/>
    <mergeCell ref="C136:C138"/>
    <mergeCell ref="D137:D138"/>
    <mergeCell ref="E137:E138"/>
    <mergeCell ref="F137:F138"/>
    <mergeCell ref="C132:C133"/>
    <mergeCell ref="B124:B126"/>
    <mergeCell ref="C124:C126"/>
    <mergeCell ref="D125:D126"/>
    <mergeCell ref="E125:E126"/>
    <mergeCell ref="F125:F126"/>
    <mergeCell ref="F121:F122"/>
    <mergeCell ref="D114:D115"/>
    <mergeCell ref="E114:E115"/>
    <mergeCell ref="F114:F115"/>
    <mergeCell ref="B117:B122"/>
    <mergeCell ref="C117:C122"/>
    <mergeCell ref="D118:D119"/>
    <mergeCell ref="E118:E119"/>
    <mergeCell ref="F118:F119"/>
    <mergeCell ref="D121:D122"/>
    <mergeCell ref="E121:E122"/>
    <mergeCell ref="D106:D108"/>
    <mergeCell ref="E106:E108"/>
    <mergeCell ref="F106:F108"/>
    <mergeCell ref="B110:B112"/>
    <mergeCell ref="C110:C112"/>
    <mergeCell ref="D111:D112"/>
    <mergeCell ref="E111:E112"/>
    <mergeCell ref="F111:F112"/>
    <mergeCell ref="F93:F94"/>
    <mergeCell ref="C97:C98"/>
    <mergeCell ref="B101:B102"/>
    <mergeCell ref="C101:C102"/>
    <mergeCell ref="D102:D104"/>
    <mergeCell ref="E102:E104"/>
    <mergeCell ref="F102:F104"/>
    <mergeCell ref="B103:B104"/>
    <mergeCell ref="C103:C104"/>
    <mergeCell ref="B89:B94"/>
    <mergeCell ref="C89:C94"/>
    <mergeCell ref="D90:D91"/>
    <mergeCell ref="E90:E91"/>
    <mergeCell ref="F90:F91"/>
    <mergeCell ref="D93:D94"/>
    <mergeCell ref="E93:E94"/>
    <mergeCell ref="D86:D87"/>
    <mergeCell ref="E86:E87"/>
    <mergeCell ref="F86:F87"/>
    <mergeCell ref="B82:B83"/>
    <mergeCell ref="C82:C83"/>
    <mergeCell ref="D78:D80"/>
    <mergeCell ref="E78:E80"/>
    <mergeCell ref="F78:F80"/>
    <mergeCell ref="B75:B76"/>
    <mergeCell ref="C75:C76"/>
    <mergeCell ref="D83:D84"/>
    <mergeCell ref="E83:E84"/>
    <mergeCell ref="F83:F84"/>
    <mergeCell ref="B73:B74"/>
    <mergeCell ref="C73:C74"/>
    <mergeCell ref="D74:D76"/>
    <mergeCell ref="E74:E76"/>
    <mergeCell ref="F74:F76"/>
    <mergeCell ref="B61:B66"/>
    <mergeCell ref="C61:C66"/>
    <mergeCell ref="C69:C70"/>
    <mergeCell ref="D62:D63"/>
    <mergeCell ref="E62:E63"/>
    <mergeCell ref="F62:F63"/>
    <mergeCell ref="D65:D66"/>
    <mergeCell ref="E65:E66"/>
    <mergeCell ref="F65:F66"/>
    <mergeCell ref="B54:B56"/>
    <mergeCell ref="C54:C56"/>
    <mergeCell ref="D55:D56"/>
    <mergeCell ref="E55:E56"/>
    <mergeCell ref="F55:F56"/>
    <mergeCell ref="B57:B59"/>
    <mergeCell ref="C57:C59"/>
    <mergeCell ref="D58:D59"/>
    <mergeCell ref="E58:E59"/>
    <mergeCell ref="F58:F59"/>
    <mergeCell ref="B47:B49"/>
    <mergeCell ref="C47:C49"/>
    <mergeCell ref="D48:D49"/>
    <mergeCell ref="E48:E49"/>
    <mergeCell ref="F48:F49"/>
    <mergeCell ref="D51:D52"/>
    <mergeCell ref="E51:E52"/>
    <mergeCell ref="F51:F52"/>
    <mergeCell ref="E40:E41"/>
    <mergeCell ref="F40:F41"/>
    <mergeCell ref="D43:D45"/>
    <mergeCell ref="E43:E45"/>
    <mergeCell ref="F43:F45"/>
    <mergeCell ref="B39:B40"/>
    <mergeCell ref="C39:C40"/>
    <mergeCell ref="B27:B29"/>
    <mergeCell ref="B30:B32"/>
    <mergeCell ref="C27:C29"/>
    <mergeCell ref="C30:C32"/>
    <mergeCell ref="C35:C36"/>
    <mergeCell ref="D40:D41"/>
    <mergeCell ref="D28:D29"/>
    <mergeCell ref="E28:E29"/>
    <mergeCell ref="F28:F29"/>
    <mergeCell ref="D31:D32"/>
    <mergeCell ref="E31:E32"/>
    <mergeCell ref="F31:F32"/>
    <mergeCell ref="B20:B21"/>
    <mergeCell ref="B22:B23"/>
    <mergeCell ref="C20:C21"/>
    <mergeCell ref="C22:C23"/>
    <mergeCell ref="C13:C15"/>
    <mergeCell ref="C16:C17"/>
    <mergeCell ref="B13:B15"/>
    <mergeCell ref="B16:B17"/>
    <mergeCell ref="D21:D22"/>
    <mergeCell ref="D14:D15"/>
    <mergeCell ref="D17:D18"/>
    <mergeCell ref="C2:C3"/>
    <mergeCell ref="E7:E8"/>
    <mergeCell ref="E10:E11"/>
    <mergeCell ref="F7:F8"/>
    <mergeCell ref="F10:F11"/>
    <mergeCell ref="D10:D11"/>
    <mergeCell ref="D7:D8"/>
    <mergeCell ref="E21:E22"/>
    <mergeCell ref="E24:E25"/>
    <mergeCell ref="F21:F22"/>
    <mergeCell ref="F24:F25"/>
    <mergeCell ref="D24:D25"/>
    <mergeCell ref="E14:E15"/>
    <mergeCell ref="F14:F15"/>
    <mergeCell ref="E17:E18"/>
    <mergeCell ref="F17:F18"/>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4"/>
  <sheetViews>
    <sheetView topLeftCell="A7" workbookViewId="0">
      <selection activeCell="E23" sqref="E23:L23"/>
    </sheetView>
  </sheetViews>
  <sheetFormatPr defaultRowHeight="14.4" x14ac:dyDescent="0.3"/>
  <cols>
    <col min="1" max="1" width="0.6640625" customWidth="1"/>
    <col min="4" max="4" width="13.33203125" customWidth="1"/>
    <col min="12" max="12" width="63.6640625" customWidth="1"/>
  </cols>
  <sheetData>
    <row r="1" spans="1:12" ht="3.75" customHeight="1" thickBot="1" x14ac:dyDescent="0.35">
      <c r="A1" s="1"/>
      <c r="B1" s="1"/>
      <c r="C1" s="1"/>
      <c r="D1" s="1"/>
      <c r="E1" s="1"/>
      <c r="F1" s="1"/>
      <c r="G1" s="1"/>
      <c r="H1" s="1"/>
      <c r="I1" s="1"/>
      <c r="J1" s="1"/>
      <c r="K1" s="1"/>
      <c r="L1" s="1"/>
    </row>
    <row r="2" spans="1:12" ht="21.6" thickBot="1" x14ac:dyDescent="0.45">
      <c r="A2" s="1"/>
      <c r="B2" s="297" t="s">
        <v>129</v>
      </c>
      <c r="C2" s="298"/>
      <c r="D2" s="298"/>
      <c r="E2" s="298"/>
      <c r="F2" s="298"/>
      <c r="G2" s="298"/>
      <c r="H2" s="298"/>
      <c r="I2" s="298"/>
      <c r="J2" s="298"/>
      <c r="K2" s="298"/>
      <c r="L2" s="299"/>
    </row>
    <row r="3" spans="1:12" ht="15" thickBot="1" x14ac:dyDescent="0.35">
      <c r="A3" s="1"/>
      <c r="B3" s="1"/>
      <c r="C3" s="1"/>
      <c r="D3" s="1"/>
      <c r="E3" s="1"/>
      <c r="F3" s="1"/>
      <c r="G3" s="1"/>
      <c r="H3" s="1"/>
      <c r="I3" s="1"/>
      <c r="J3" s="1"/>
      <c r="K3" s="1"/>
      <c r="L3" s="1"/>
    </row>
    <row r="4" spans="1:12" ht="15" thickBot="1" x14ac:dyDescent="0.35">
      <c r="A4" s="1"/>
      <c r="B4" s="300" t="s">
        <v>18</v>
      </c>
      <c r="C4" s="301"/>
      <c r="D4" s="301"/>
      <c r="E4" s="301"/>
      <c r="F4" s="301"/>
      <c r="G4" s="301"/>
      <c r="H4" s="301"/>
      <c r="I4" s="301"/>
      <c r="J4" s="301"/>
      <c r="K4" s="301"/>
      <c r="L4" s="302"/>
    </row>
    <row r="5" spans="1:12" x14ac:dyDescent="0.3">
      <c r="A5" s="1"/>
      <c r="B5" s="303" t="s">
        <v>19</v>
      </c>
      <c r="C5" s="236"/>
      <c r="D5" s="236"/>
      <c r="E5" s="236"/>
      <c r="F5" s="236"/>
      <c r="G5" s="236"/>
      <c r="H5" s="236"/>
      <c r="I5" s="236"/>
      <c r="J5" s="236"/>
      <c r="K5" s="236"/>
      <c r="L5" s="304"/>
    </row>
    <row r="6" spans="1:12" x14ac:dyDescent="0.3">
      <c r="A6" s="1"/>
      <c r="B6" s="305"/>
      <c r="C6" s="234"/>
      <c r="D6" s="234"/>
      <c r="E6" s="234"/>
      <c r="F6" s="234"/>
      <c r="G6" s="234"/>
      <c r="H6" s="234"/>
      <c r="I6" s="234"/>
      <c r="J6" s="234"/>
      <c r="K6" s="234"/>
      <c r="L6" s="306"/>
    </row>
    <row r="7" spans="1:12" x14ac:dyDescent="0.3">
      <c r="A7" s="1"/>
      <c r="B7" s="305"/>
      <c r="C7" s="234"/>
      <c r="D7" s="234"/>
      <c r="E7" s="234"/>
      <c r="F7" s="234"/>
      <c r="G7" s="234"/>
      <c r="H7" s="234"/>
      <c r="I7" s="234"/>
      <c r="J7" s="234"/>
      <c r="K7" s="234"/>
      <c r="L7" s="306"/>
    </row>
    <row r="8" spans="1:12" x14ac:dyDescent="0.3">
      <c r="A8" s="1"/>
      <c r="B8" s="305"/>
      <c r="C8" s="234"/>
      <c r="D8" s="234"/>
      <c r="E8" s="234"/>
      <c r="F8" s="234"/>
      <c r="G8" s="234"/>
      <c r="H8" s="234"/>
      <c r="I8" s="234"/>
      <c r="J8" s="234"/>
      <c r="K8" s="234"/>
      <c r="L8" s="306"/>
    </row>
    <row r="9" spans="1:12" x14ac:dyDescent="0.3">
      <c r="A9" s="1"/>
      <c r="B9" s="305" t="s">
        <v>122</v>
      </c>
      <c r="C9" s="226"/>
      <c r="D9" s="226"/>
      <c r="E9" s="226"/>
      <c r="F9" s="226"/>
      <c r="G9" s="226"/>
      <c r="H9" s="226"/>
      <c r="I9" s="226"/>
      <c r="J9" s="226"/>
      <c r="K9" s="226"/>
      <c r="L9" s="222"/>
    </row>
    <row r="10" spans="1:12" x14ac:dyDescent="0.3">
      <c r="A10" s="1"/>
      <c r="B10" s="307"/>
      <c r="C10" s="226"/>
      <c r="D10" s="226"/>
      <c r="E10" s="226"/>
      <c r="F10" s="226"/>
      <c r="G10" s="226"/>
      <c r="H10" s="226"/>
      <c r="I10" s="226"/>
      <c r="J10" s="226"/>
      <c r="K10" s="226"/>
      <c r="L10" s="222"/>
    </row>
    <row r="11" spans="1:12" x14ac:dyDescent="0.3">
      <c r="A11" s="1"/>
      <c r="B11" s="307"/>
      <c r="C11" s="226"/>
      <c r="D11" s="226"/>
      <c r="E11" s="226"/>
      <c r="F11" s="226"/>
      <c r="G11" s="226"/>
      <c r="H11" s="226"/>
      <c r="I11" s="226"/>
      <c r="J11" s="226"/>
      <c r="K11" s="226"/>
      <c r="L11" s="222"/>
    </row>
    <row r="12" spans="1:12" x14ac:dyDescent="0.3">
      <c r="A12" s="1"/>
      <c r="B12" s="307"/>
      <c r="C12" s="226"/>
      <c r="D12" s="226"/>
      <c r="E12" s="226"/>
      <c r="F12" s="226"/>
      <c r="G12" s="226"/>
      <c r="H12" s="226"/>
      <c r="I12" s="226"/>
      <c r="J12" s="226"/>
      <c r="K12" s="226"/>
      <c r="L12" s="222"/>
    </row>
    <row r="13" spans="1:12" x14ac:dyDescent="0.3">
      <c r="A13" s="1"/>
      <c r="B13" s="308" t="s">
        <v>123</v>
      </c>
      <c r="C13" s="280"/>
      <c r="D13" s="280"/>
      <c r="E13" s="280"/>
      <c r="F13" s="280"/>
      <c r="G13" s="280"/>
      <c r="H13" s="280"/>
      <c r="I13" s="280"/>
      <c r="J13" s="280"/>
      <c r="K13" s="280"/>
      <c r="L13" s="281"/>
    </row>
    <row r="14" spans="1:12" x14ac:dyDescent="0.3">
      <c r="A14" s="1"/>
      <c r="B14" s="308"/>
      <c r="C14" s="280"/>
      <c r="D14" s="280"/>
      <c r="E14" s="280"/>
      <c r="F14" s="280"/>
      <c r="G14" s="280"/>
      <c r="H14" s="280"/>
      <c r="I14" s="280"/>
      <c r="J14" s="280"/>
      <c r="K14" s="280"/>
      <c r="L14" s="281"/>
    </row>
    <row r="15" spans="1:12" x14ac:dyDescent="0.3">
      <c r="A15" s="1"/>
      <c r="B15" s="308"/>
      <c r="C15" s="280"/>
      <c r="D15" s="280"/>
      <c r="E15" s="280"/>
      <c r="F15" s="280"/>
      <c r="G15" s="280"/>
      <c r="H15" s="280"/>
      <c r="I15" s="280"/>
      <c r="J15" s="280"/>
      <c r="K15" s="280"/>
      <c r="L15" s="281"/>
    </row>
    <row r="16" spans="1:12" ht="3" customHeight="1" thickBot="1" x14ac:dyDescent="0.35">
      <c r="A16" s="1"/>
      <c r="B16" s="309"/>
      <c r="C16" s="284"/>
      <c r="D16" s="284"/>
      <c r="E16" s="284"/>
      <c r="F16" s="284"/>
      <c r="G16" s="284"/>
      <c r="H16" s="284"/>
      <c r="I16" s="284"/>
      <c r="J16" s="284"/>
      <c r="K16" s="284"/>
      <c r="L16" s="285"/>
    </row>
    <row r="17" spans="1:12" ht="15" thickBot="1" x14ac:dyDescent="0.35">
      <c r="A17" s="1"/>
      <c r="B17" s="1"/>
      <c r="C17" s="1"/>
      <c r="D17" s="1"/>
      <c r="E17" s="1"/>
      <c r="F17" s="1"/>
      <c r="G17" s="1"/>
      <c r="H17" s="1"/>
      <c r="I17" s="1"/>
      <c r="J17" s="1"/>
      <c r="K17" s="1"/>
      <c r="L17" s="1"/>
    </row>
    <row r="18" spans="1:12" ht="15" thickBot="1" x14ac:dyDescent="0.35">
      <c r="A18" s="1"/>
      <c r="B18" s="294" t="s">
        <v>84</v>
      </c>
      <c r="C18" s="295"/>
      <c r="D18" s="295"/>
      <c r="E18" s="295"/>
      <c r="F18" s="295"/>
      <c r="G18" s="295"/>
      <c r="H18" s="295"/>
      <c r="I18" s="295"/>
      <c r="J18" s="295"/>
      <c r="K18" s="295"/>
      <c r="L18" s="296"/>
    </row>
    <row r="19" spans="1:12" ht="15" thickBot="1" x14ac:dyDescent="0.35">
      <c r="A19" s="1"/>
      <c r="B19" s="287" t="s">
        <v>20</v>
      </c>
      <c r="C19" s="288"/>
      <c r="D19" s="288"/>
      <c r="E19" s="288" t="s">
        <v>15</v>
      </c>
      <c r="F19" s="288"/>
      <c r="G19" s="288"/>
      <c r="H19" s="288"/>
      <c r="I19" s="288"/>
      <c r="J19" s="288"/>
      <c r="K19" s="288"/>
      <c r="L19" s="289"/>
    </row>
    <row r="20" spans="1:12" ht="108" customHeight="1" x14ac:dyDescent="0.3">
      <c r="A20" s="1"/>
      <c r="B20" s="290" t="s">
        <v>21</v>
      </c>
      <c r="C20" s="291"/>
      <c r="D20" s="291"/>
      <c r="E20" s="292" t="s">
        <v>128</v>
      </c>
      <c r="F20" s="292"/>
      <c r="G20" s="292"/>
      <c r="H20" s="292"/>
      <c r="I20" s="292"/>
      <c r="J20" s="292"/>
      <c r="K20" s="292"/>
      <c r="L20" s="293"/>
    </row>
    <row r="21" spans="1:12" ht="62.25" customHeight="1" x14ac:dyDescent="0.3">
      <c r="A21" s="1"/>
      <c r="B21" s="278" t="s">
        <v>22</v>
      </c>
      <c r="C21" s="279"/>
      <c r="D21" s="279"/>
      <c r="E21" s="280" t="s">
        <v>27</v>
      </c>
      <c r="F21" s="280"/>
      <c r="G21" s="280"/>
      <c r="H21" s="280"/>
      <c r="I21" s="280"/>
      <c r="J21" s="280"/>
      <c r="K21" s="280"/>
      <c r="L21" s="281"/>
    </row>
    <row r="22" spans="1:12" ht="17.25" customHeight="1" x14ac:dyDescent="0.3">
      <c r="A22" s="1"/>
      <c r="B22" s="278" t="s">
        <v>124</v>
      </c>
      <c r="C22" s="279"/>
      <c r="D22" s="279"/>
      <c r="E22" s="280" t="s">
        <v>126</v>
      </c>
      <c r="F22" s="280"/>
      <c r="G22" s="280"/>
      <c r="H22" s="280"/>
      <c r="I22" s="280"/>
      <c r="J22" s="280"/>
      <c r="K22" s="280"/>
      <c r="L22" s="281"/>
    </row>
    <row r="23" spans="1:12" ht="79.5" customHeight="1" thickBot="1" x14ac:dyDescent="0.35">
      <c r="A23" s="1"/>
      <c r="B23" s="282" t="s">
        <v>125</v>
      </c>
      <c r="C23" s="283"/>
      <c r="D23" s="283"/>
      <c r="E23" s="284" t="s">
        <v>127</v>
      </c>
      <c r="F23" s="284"/>
      <c r="G23" s="284"/>
      <c r="H23" s="284"/>
      <c r="I23" s="284"/>
      <c r="J23" s="284"/>
      <c r="K23" s="284"/>
      <c r="L23" s="285"/>
    </row>
    <row r="24" spans="1:12" ht="15" thickBot="1" x14ac:dyDescent="0.35">
      <c r="B24" s="282" t="s">
        <v>132</v>
      </c>
      <c r="C24" s="283"/>
      <c r="D24" s="283"/>
      <c r="E24" s="286" t="s">
        <v>133</v>
      </c>
      <c r="F24" s="286"/>
      <c r="G24" s="286"/>
      <c r="H24" s="286"/>
      <c r="I24" s="286"/>
      <c r="J24" s="286"/>
      <c r="K24" s="286"/>
      <c r="L24" s="286"/>
    </row>
  </sheetData>
  <sheetProtection selectLockedCells="1"/>
  <mergeCells count="18">
    <mergeCell ref="B18:L18"/>
    <mergeCell ref="B2:L2"/>
    <mergeCell ref="B4:L4"/>
    <mergeCell ref="B5:L8"/>
    <mergeCell ref="B9:L12"/>
    <mergeCell ref="B13:L16"/>
    <mergeCell ref="B19:D19"/>
    <mergeCell ref="E19:L19"/>
    <mergeCell ref="B20:D20"/>
    <mergeCell ref="E20:L20"/>
    <mergeCell ref="B21:D21"/>
    <mergeCell ref="E21:L21"/>
    <mergeCell ref="B22:D22"/>
    <mergeCell ref="E22:L22"/>
    <mergeCell ref="B23:D23"/>
    <mergeCell ref="E23:L23"/>
    <mergeCell ref="B24:D24"/>
    <mergeCell ref="E24:L2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Product Information</vt:lpstr>
      <vt:lpstr>Rubric</vt:lpstr>
      <vt:lpstr>Submission Guidelines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Bryan</cp:lastModifiedBy>
  <dcterms:created xsi:type="dcterms:W3CDTF">2016-11-30T02:45:37Z</dcterms:created>
  <dcterms:modified xsi:type="dcterms:W3CDTF">2020-12-07T01:44:54Z</dcterms:modified>
</cp:coreProperties>
</file>