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328" codeName="{316AF4FF-6532-DD95-964C-923D217D005E}"/>
  <workbookPr codeName="ThisWorkbook"/>
  <mc:AlternateContent xmlns:mc="http://schemas.openxmlformats.org/markup-compatibility/2006">
    <mc:Choice Requires="x15">
      <x15ac:absPath xmlns:x15ac="http://schemas.microsoft.com/office/spreadsheetml/2010/11/ac" url="C:\Users\Bryan\Downloads\"/>
    </mc:Choice>
  </mc:AlternateContent>
  <xr:revisionPtr revIDLastSave="0" documentId="13_ncr:1_{2761AD73-25DF-4B76-8974-6E5168BC5C95}" xr6:coauthVersionLast="45" xr6:coauthVersionMax="45" xr10:uidLastSave="{00000000-0000-0000-0000-000000000000}"/>
  <bookViews>
    <workbookView xWindow="-108" yWindow="-108" windowWidth="23256" windowHeight="12576" xr2:uid="{00000000-000D-0000-FFFF-FFFF00000000}"/>
  </bookViews>
  <sheets>
    <sheet name="Product Information" sheetId="1" r:id="rId1"/>
    <sheet name="Rubric" sheetId="8" r:id="rId2"/>
    <sheet name="Submission Guidelines" sheetId="6"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74" i="8" l="1"/>
  <c r="D78" i="8"/>
  <c r="D83" i="8"/>
  <c r="D86" i="8"/>
  <c r="D90" i="8"/>
  <c r="D93" i="8"/>
  <c r="D70" i="8" a="1"/>
  <c r="E70" i="8" a="1"/>
  <c r="E70" i="8" l="1"/>
  <c r="D70" i="8"/>
  <c r="P20" i="1"/>
  <c r="P32" i="1"/>
  <c r="E145" i="8" l="1"/>
  <c r="P19" i="1" s="1"/>
  <c r="D106" i="8" l="1"/>
  <c r="D102" i="8"/>
  <c r="D149" i="8"/>
  <c r="D140" i="8"/>
  <c r="E133" i="8" s="1"/>
  <c r="P18" i="1" s="1"/>
  <c r="D137" i="8"/>
  <c r="D128" i="8"/>
  <c r="D125" i="8"/>
  <c r="D121" i="8"/>
  <c r="D118" i="8"/>
  <c r="D114" i="8"/>
  <c r="D111" i="8"/>
  <c r="D65" i="8"/>
  <c r="D62" i="8"/>
  <c r="D58" i="8"/>
  <c r="D55" i="8"/>
  <c r="D51" i="8"/>
  <c r="D48" i="8"/>
  <c r="D43" i="8"/>
  <c r="D31" i="8"/>
  <c r="D28" i="8"/>
  <c r="D98" i="8" a="1"/>
  <c r="D36" i="8" a="1"/>
  <c r="E36" i="8" a="1"/>
  <c r="D3" i="8" a="1"/>
  <c r="E3" i="8" a="1"/>
  <c r="E98" i="8" a="1"/>
  <c r="D133" i="8" l="1"/>
  <c r="P30" i="1" s="1"/>
  <c r="D98" i="8"/>
  <c r="P29" i="1" s="1"/>
  <c r="E98" i="8"/>
  <c r="P17" i="1" s="1"/>
  <c r="E36" i="8"/>
  <c r="D36" i="8"/>
  <c r="D3" i="8"/>
  <c r="E3" i="8"/>
  <c r="P15" i="1"/>
  <c r="P28" i="1"/>
  <c r="P27" i="1"/>
  <c r="P16" i="1"/>
  <c r="D145" i="8"/>
  <c r="P31" i="1" s="1"/>
  <c r="P26" i="1"/>
  <c r="P14" i="1"/>
  <c r="I39" i="1"/>
  <c r="I29" i="1"/>
  <c r="P21" i="1" s="1"/>
  <c r="N12" i="1" a="1"/>
  <c r="N12" i="1" l="1"/>
  <c r="P33" i="1"/>
  <c r="J12" i="1" a="1"/>
  <c r="J14" i="1" a="1"/>
  <c r="J16" i="1" a="1"/>
  <c r="J13" i="1" a="1"/>
  <c r="N24" i="1" a="1"/>
  <c r="J15" i="1" a="1"/>
  <c r="J14" i="1" l="1"/>
  <c r="J15" i="1"/>
  <c r="J13" i="1"/>
  <c r="J16" i="1"/>
  <c r="J12" i="1"/>
  <c r="N24"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<sst xmlns="http://schemas.openxmlformats.org/spreadsheetml/2006/main" count="285" uniqueCount="145">
  <si>
    <t>Student Comments</t>
  </si>
  <si>
    <t>Grade</t>
  </si>
  <si>
    <t>Student Grade</t>
  </si>
  <si>
    <t>Instructor Grade</t>
  </si>
  <si>
    <t>Total</t>
  </si>
  <si>
    <t>TEAM NAME</t>
  </si>
  <si>
    <t>COURSE</t>
  </si>
  <si>
    <t>TEAM ROSTER</t>
  </si>
  <si>
    <t>Degree</t>
  </si>
  <si>
    <t>Team Member</t>
  </si>
  <si>
    <t>DigiPen E-mail</t>
  </si>
  <si>
    <t>Individual Code Contribution</t>
  </si>
  <si>
    <t>Individual Final Grade</t>
  </si>
  <si>
    <t>TEAM GRADE (Instructor)</t>
  </si>
  <si>
    <t>TEAM GRADE (Students)</t>
  </si>
  <si>
    <t>Description</t>
  </si>
  <si>
    <t>About Individual Contribution</t>
  </si>
  <si>
    <t>Your individual code contribution is based on the lines of code each team member contributed. It is marked as follows:</t>
  </si>
  <si>
    <t>SUBMISSION GUIDELINES DESCRIPTION</t>
  </si>
  <si>
    <t>The exact folder structure, files, and naming conventions listed below are mandatory. Do not use different names or formats (even if they are very similar). No .rtf files instead of .txt files, no leaving out the underscores, no .png files instead of .jpg files, etc. When the bolded term gamename appears below, substitute your actual game name (or a shortened version of it that works better for a filename) with any spaces in the name removed. Do not use your team name for this.</t>
  </si>
  <si>
    <t>Item</t>
  </si>
  <si>
    <t>\SOURCE</t>
  </si>
  <si>
    <t>\DOCUMENTS</t>
  </si>
  <si>
    <t>Contribution is about 100 lines of quality code</t>
  </si>
  <si>
    <t>Contribution is about 300 lines of quality code</t>
  </si>
  <si>
    <t>Contribution is about 500 lines of quality code</t>
  </si>
  <si>
    <t>Contribution is about 800 lines of quality code</t>
  </si>
  <si>
    <r>
      <t>A folder that contains a filled out version of these rubrics done by the team (</t>
    </r>
    <r>
      <rPr>
        <b/>
        <sz val="11"/>
        <color theme="1"/>
        <rFont val="Calibri"/>
        <family val="2"/>
        <scheme val="minor"/>
      </rPr>
      <t>required</t>
    </r>
    <r>
      <rPr>
        <sz val="11"/>
        <color theme="1"/>
        <rFont val="Calibri"/>
        <family val="2"/>
        <scheme val="minor"/>
      </rPr>
      <t>), all design documents (optionals), all your presentation materials (</t>
    </r>
    <r>
      <rPr>
        <b/>
        <sz val="11"/>
        <color theme="1"/>
        <rFont val="Calibri"/>
        <family val="2"/>
        <scheme val="minor"/>
      </rPr>
      <t>required</t>
    </r>
    <r>
      <rPr>
        <sz val="11"/>
        <color theme="1"/>
        <rFont val="Calibri"/>
        <family val="2"/>
        <scheme val="minor"/>
      </rPr>
      <t>), marketing materials (optional), post-mortem (optional), etc.
All documents here must be in Microsoft Office or Open Office formats. Any additional screenshots (optional), team photos (optional), etc. go here as well.</t>
    </r>
  </si>
  <si>
    <t>Code Feedback</t>
  </si>
  <si>
    <t>Point Details</t>
  </si>
  <si>
    <t>Score</t>
  </si>
  <si>
    <t>No technical complexity at all.</t>
  </si>
  <si>
    <t>Low technical complexity.</t>
  </si>
  <si>
    <t>Decent technical complexity.</t>
  </si>
  <si>
    <t>Technical</t>
  </si>
  <si>
    <t>Good technical complexity.</t>
  </si>
  <si>
    <t>Very good technical complexity.</t>
  </si>
  <si>
    <t>High technical complexity.</t>
  </si>
  <si>
    <t>Lecturer Grade</t>
  </si>
  <si>
    <t>Lecturer Feedback</t>
  </si>
  <si>
    <t>Lecturer Score</t>
  </si>
  <si>
    <t>Comments</t>
  </si>
  <si>
    <t>Project could not be compiled as submitted.</t>
  </si>
  <si>
    <t>Project does not compile cleanly.</t>
  </si>
  <si>
    <t>Project compiles cleanly.</t>
  </si>
  <si>
    <t>No significant flaws encountered.</t>
  </si>
  <si>
    <t>One or more fatal flaws encountered.</t>
  </si>
  <si>
    <t>One or more major flaws encountered.</t>
  </si>
  <si>
    <t>One or more minor flaws encountered.</t>
  </si>
  <si>
    <t>One or more design flaws.</t>
  </si>
  <si>
    <t>Interactivity</t>
  </si>
  <si>
    <t>Controls are terrible.</t>
  </si>
  <si>
    <t>Controls are poor.</t>
  </si>
  <si>
    <t>Controls are decent.</t>
  </si>
  <si>
    <t>Controls are good.</t>
  </si>
  <si>
    <t>Controls are very good, intuitive and easy to use.</t>
  </si>
  <si>
    <t>Terrible overall look / content or just simple placeholder art.</t>
  </si>
  <si>
    <t>Poor overall look /content or no visual consistency at all.</t>
  </si>
  <si>
    <t>Decent overall look / content.</t>
  </si>
  <si>
    <t>Nice overall look / content.</t>
  </si>
  <si>
    <t>Great overall look / content.</t>
  </si>
  <si>
    <t>Appeal / Content</t>
  </si>
  <si>
    <t>Terrible visual appeal/layout.</t>
  </si>
  <si>
    <t>Poor visual appeal/layout.</t>
  </si>
  <si>
    <t>Decent visual appeal/layout.</t>
  </si>
  <si>
    <t>Good visual appeal/layout.</t>
  </si>
  <si>
    <t>Impressive visual effects.</t>
  </si>
  <si>
    <t>No audio.</t>
  </si>
  <si>
    <t>Some music and/or sound effects, even if the quality is poor.</t>
  </si>
  <si>
    <t>Some good quality music and sound effects.</t>
  </si>
  <si>
    <t>Additional Modifiers</t>
  </si>
  <si>
    <t>Incorrect or incomplete README.txt file.</t>
  </si>
  <si>
    <t>Missing public submission.</t>
  </si>
  <si>
    <t>Incorrectly named project folder.</t>
  </si>
  <si>
    <t>Swapped the Public and Archive submission files and paths.</t>
  </si>
  <si>
    <t>Exclude any temporary or generated files, such as *.sdf,
*.obj, *.ilk, *.tlog, etc.</t>
  </si>
  <si>
    <t>TCRs</t>
  </si>
  <si>
    <t>No Debug Info - Game must not display any debug text or other debug info (including separate debug command windows or anything similar) by default. It’s okay to have something on the options screen that turns on debugging features.</t>
  </si>
  <si>
    <t>Commented Source Code - All source files that were created by yourself in the final submission must be commented. In particular, each must have the DigiPen copyright at the top of file, along with who is the primary author of the file (not who just created it initially--who wrote most of the code in it). If more than one person wrote code in the file, put who and what they did at the top of the file as well.</t>
  </si>
  <si>
    <t>Additional Grades (Instructor)</t>
  </si>
  <si>
    <t>Additional Grades (Students)</t>
  </si>
  <si>
    <t>Additional Grades</t>
  </si>
  <si>
    <t>Good variety of challenges; requiring different techniques to overcome.</t>
  </si>
  <si>
    <t>Missing README.txt file. README file must include: Game Name, Team Name , Class-Section Year, Teammates names &amp; email.</t>
  </si>
  <si>
    <t>ZIP Content</t>
  </si>
  <si>
    <t>Labs Missed</t>
  </si>
  <si>
    <t>Contribution is less than 50 lines of code or poor quality</t>
  </si>
  <si>
    <r>
      <t xml:space="preserve">Contribution is about 1200+ lines of </t>
    </r>
    <r>
      <rPr>
        <b/>
        <sz val="11"/>
        <color theme="1"/>
        <rFont val="Calibri"/>
        <family val="2"/>
        <scheme val="minor"/>
      </rPr>
      <t>good</t>
    </r>
    <r>
      <rPr>
        <sz val="11"/>
        <color theme="1"/>
        <rFont val="Calibri"/>
        <family val="2"/>
        <scheme val="minor"/>
      </rPr>
      <t xml:space="preserve"> </t>
    </r>
    <r>
      <rPr>
        <b/>
        <sz val="11"/>
        <color theme="1"/>
        <rFont val="Calibri"/>
        <family val="2"/>
        <scheme val="minor"/>
      </rPr>
      <t>quality</t>
    </r>
    <r>
      <rPr>
        <sz val="11"/>
        <color theme="1"/>
        <rFont val="Calibri"/>
        <family val="2"/>
        <scheme val="minor"/>
      </rPr>
      <t xml:space="preserve"> code </t>
    </r>
  </si>
  <si>
    <t>The instructor could not figure out how to use the software at all.</t>
  </si>
  <si>
    <t>Software is completely opaque and can only be used by experts.</t>
  </si>
  <si>
    <t>Instructions/user feedback are missing or minimal.</t>
  </si>
  <si>
    <t>Instructions/user feedback are decent.</t>
  </si>
  <si>
    <t>Instructions/user feedback are good.</t>
  </si>
  <si>
    <t>Instructions/user feedback are innovative or impressive.</t>
  </si>
  <si>
    <t>No visuals / content displaying in the software at all.</t>
  </si>
  <si>
    <t>F</t>
  </si>
  <si>
    <t>A</t>
  </si>
  <si>
    <t>B</t>
  </si>
  <si>
    <t>C</t>
  </si>
  <si>
    <t>D</t>
  </si>
  <si>
    <t>E</t>
  </si>
  <si>
    <t>Basic number of use cases.</t>
  </si>
  <si>
    <t>Good number of use cases.</t>
  </si>
  <si>
    <t>Exceptional number of use cases.</t>
  </si>
  <si>
    <t>User Experience</t>
  </si>
  <si>
    <t>Not a working product.</t>
  </si>
  <si>
    <t>Product works but is not innovative or impressive at all. Lots of frustration in terms of usability related to design and technology.</t>
  </si>
  <si>
    <t>Product is suited for market review. Has promising features but implimentation is lacking.</t>
  </si>
  <si>
    <t>Product is ready for soft launch in the market. User Experience in design and technology is well conceived and developed. User test case have been analysed and changes made.</t>
  </si>
  <si>
    <t>Product is excellent and ready for launch as a version 1. Technology, Design and sound all come together to build a satisfying user experince.</t>
  </si>
  <si>
    <t>Product is very robust and/or has good debugging features.</t>
  </si>
  <si>
    <t>Product has good content creation tools/functionality.</t>
  </si>
  <si>
    <t>Product is innovative and/or impressive.</t>
  </si>
  <si>
    <t>Product has a solid theme or story line maintained throughout.</t>
  </si>
  <si>
    <t>Low number of use cases.</t>
  </si>
  <si>
    <t>Late submission (-half a letter grade/day).</t>
  </si>
  <si>
    <t>Included version control files (.svn, .git)</t>
  </si>
  <si>
    <t>Resubmission after the due date (-half a letter grade/instance).</t>
  </si>
  <si>
    <t>Credits Screen - Product must have a credits screen (accessible from the main menu and labeled "Credits"--do not change the wording of this option) that lists all students currently or previously on the team. Students who have not been on the team for an entire semester can be listed under “special thanks” if you wish, but must otherwise be listed as regular team members (although you can list what each team member did, if you wish). Your game class instructors must be listed as “instructor”, or “game instructor”, or “team instructor”, or “tech instructor” as appropriate (list instructors from each semester of your game class if they are different). Claude Comair must be listed as “president”. You can add additional people as you wish, put funny stuff in your credits, add nicknames for people (although you must get permission from that person), etc.
If your game doesn't have a main menu, the credits must be accessible from a pause menu or in-game button.</t>
  </si>
  <si>
    <t>DigiPen Copyright - Product must display the official DigiPen copyright on the game’s credits screen (at the top or beginning of the credits--do not put this at the end of a scrolling credits sequence). The copyright is the following: All content © 2020 DigiPen Institute of Technology Singapore, all rights reserved.</t>
  </si>
  <si>
    <t>Product should compile without warnings. Every 5 warnings will cost half a letter grade.</t>
  </si>
  <si>
    <t>DigiPen Logo - Product must display the official DigiPen logo all by itself as the first screen upon launching. It must be displayed for at least 2 seconds.</t>
  </si>
  <si>
    <r>
      <t>Zip all your files into a single file, named: GAM100A_</t>
    </r>
    <r>
      <rPr>
        <b/>
        <sz val="11"/>
        <color theme="1"/>
        <rFont val="Calibri"/>
        <family val="2"/>
        <scheme val="minor"/>
      </rPr>
      <t>teamname</t>
    </r>
    <r>
      <rPr>
        <sz val="11"/>
        <color theme="1"/>
        <rFont val="Calibri"/>
        <family val="2"/>
        <scheme val="minor"/>
      </rPr>
      <t xml:space="preserve"> , CSD1400A_</t>
    </r>
    <r>
      <rPr>
        <b/>
        <sz val="11"/>
        <color theme="1"/>
        <rFont val="Calibri"/>
        <family val="2"/>
        <scheme val="minor"/>
      </rPr>
      <t xml:space="preserve">teamname, </t>
    </r>
    <r>
      <rPr>
        <sz val="11"/>
        <color theme="1"/>
        <rFont val="Calibri"/>
        <family val="2"/>
        <scheme val="minor"/>
      </rPr>
      <t>CSD1400B_</t>
    </r>
    <r>
      <rPr>
        <b/>
        <sz val="11"/>
        <color theme="1"/>
        <rFont val="Calibri"/>
        <family val="2"/>
        <scheme val="minor"/>
      </rPr>
      <t>teamname</t>
    </r>
    <r>
      <rPr>
        <sz val="11"/>
        <color theme="1"/>
        <rFont val="Calibri"/>
        <family val="2"/>
        <scheme val="minor"/>
      </rPr>
      <t>, CSD1400C_</t>
    </r>
    <r>
      <rPr>
        <b/>
        <sz val="11"/>
        <color theme="1"/>
        <rFont val="Calibri"/>
        <family val="2"/>
        <scheme val="minor"/>
      </rPr>
      <t>teamname</t>
    </r>
    <r>
      <rPr>
        <sz val="11"/>
        <color theme="1"/>
        <rFont val="Calibri"/>
        <family val="2"/>
        <scheme val="minor"/>
      </rPr>
      <t>,CSD1400D_</t>
    </r>
    <r>
      <rPr>
        <b/>
        <sz val="11"/>
        <color theme="1"/>
        <rFont val="Calibri"/>
        <family val="2"/>
        <scheme val="minor"/>
      </rPr>
      <t>teamname</t>
    </r>
    <r>
      <rPr>
        <sz val="11"/>
        <color theme="1"/>
        <rFont val="Calibri"/>
        <family val="2"/>
        <scheme val="minor"/>
      </rPr>
      <t>, based on your section and team composition.
In "teamname" use the name of your team instead of the name of your game.
Submission must be done through moodle and only one member must submit per team (only one submission in moodle per team).</t>
    </r>
  </si>
  <si>
    <t>Below there is a description of the files and folders your zip file submission must include. Failing to submit any of this files or description mentioned in the following section can result in the instructor not accepting your submission and you will need to resubmit (with a penalty applied to your submission grade of one letter grade).
Please replace 'productname' in the file names mentioned below by the name of your game.</t>
  </si>
  <si>
    <r>
      <rPr>
        <b/>
        <sz val="11"/>
        <color theme="0"/>
        <rFont val="Calibri"/>
        <family val="2"/>
        <scheme val="minor"/>
      </rPr>
      <t>productname</t>
    </r>
    <r>
      <rPr>
        <sz val="11"/>
        <color theme="0"/>
        <rFont val="Calibri"/>
        <family val="2"/>
        <scheme val="minor"/>
      </rPr>
      <t>.exe</t>
    </r>
  </si>
  <si>
    <r>
      <rPr>
        <b/>
        <sz val="11"/>
        <color theme="0"/>
        <rFont val="Calibri"/>
        <family val="2"/>
        <scheme val="minor"/>
      </rPr>
      <t>productname</t>
    </r>
    <r>
      <rPr>
        <sz val="11"/>
        <color theme="0"/>
        <rFont val="Calibri"/>
        <family val="2"/>
        <scheme val="minor"/>
      </rPr>
      <t>_readme.txt</t>
    </r>
  </si>
  <si>
    <t>The executable for the product. Make sure you double and triple check the product works well.</t>
  </si>
  <si>
    <t>At the absolute minimum, put your product name, team name, class name and section (CSD1400A, for example) and DigiPen contact email address at the beginning of the file. If you have a live product website, put the link to it after the emails. That’s all that is required, but this is the only thing that will be read before your product is used, so if you need to say anything about controls, cheat codes/keys, bugs, known crashes, gameplay tips, whatever, say it here. Information about controls, gameplay, etc. should be in the game itself, but if it isn’t (or is wrong/misleading in some way), then put it here. If it isn’t obvious how to go to full-screen and back, tell us here.</t>
  </si>
  <si>
    <r>
      <t xml:space="preserve">Inside SOURCE create a folder that contains your Visual Studio project (all code, art, sound, and other assets (for both the game and any tools)). Comment all code, include copyright notices in each code file, and put who wrote the code near the top of the file. Make sure you do not put any .pdb files, .obj files, .pch files, or other build artifacts in this folder. The easy way to do this is to use the SVN export command to get a clean folder of your entire source tree without any extraneous files. Or if you are using GIT, make sure all these extraneous files are listed in your .gitignore file. Feel free to create additional folders (inside SOURCE) for unuse code, or any other content or code related files.
</t>
    </r>
    <r>
      <rPr>
        <b/>
        <sz val="11"/>
        <color theme="1"/>
        <rFont val="Calibri"/>
        <family val="2"/>
        <scheme val="minor"/>
      </rPr>
      <t>Please note:</t>
    </r>
    <r>
      <rPr>
        <sz val="11"/>
        <color theme="1"/>
        <rFont val="Calibri"/>
        <family val="2"/>
        <scheme val="minor"/>
      </rPr>
      <t xml:space="preserve"> We need to be able to open your project in Visual Studio, compile it and run it from Visual Studio. If your project doesn't compile in Visual Studio due to compiling errors, a resubmision will be required.</t>
    </r>
  </si>
  <si>
    <t>CSD1400/GAM100 - Project Submission Guidelines</t>
  </si>
  <si>
    <t>CSD1400/GAM 100 - PROJECT RUBRICS</t>
  </si>
  <si>
    <t>PRODUCT NAME</t>
  </si>
  <si>
    <t>\PRODUCT</t>
  </si>
  <si>
    <t>A folder that contains the productname.exe, productname_readme.txt, and all other resources required for the executable to be run from that folder.</t>
  </si>
  <si>
    <t>RTIS</t>
  </si>
  <si>
    <t>IMGD</t>
  </si>
  <si>
    <t>Lee Jia Keat</t>
  </si>
  <si>
    <t>Bryan Koh Yan Wei</t>
  </si>
  <si>
    <t xml:space="preserve">Liu Ke </t>
  </si>
  <si>
    <t>Nurul Dania Mohd Rizal</t>
  </si>
  <si>
    <t>l.jiakeat@digipen.edu</t>
  </si>
  <si>
    <t>yanweibryan.koh@digipen.edu</t>
  </si>
  <si>
    <t>ke.liu@digipen.edu</t>
  </si>
  <si>
    <t>ASTEROIDS</t>
  </si>
  <si>
    <t>CSD1400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</si>
</sst>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Calibri"/>
      <family val="2"/>
      <scheme val="minor"/>
    </font>
    <font>
      <b/>
      <sz val="11"/>
      <color theme="0"/>
      <name val="Calibri"/>
      <family val="2"/>
      <scheme val="minor"/>
    </font>
    <font>
      <b/>
      <sz val="18"/>
      <color theme="0"/>
      <name val="Calibri"/>
      <family val="2"/>
      <scheme val="minor"/>
    </font>
    <font>
      <b/>
      <sz val="11"/>
      <color rgb="FF00B0F0"/>
      <name val="Calibri"/>
      <family val="2"/>
      <scheme val="minor"/>
    </font>
    <font>
      <b/>
      <sz val="11"/>
      <color rgb="FF00B050"/>
      <name val="Calibri"/>
      <family val="2"/>
      <scheme val="minor"/>
    </font>
    <font>
      <b/>
      <sz val="11"/>
      <color theme="1"/>
      <name val="Calibri"/>
      <family val="2"/>
      <scheme val="minor"/>
    </font>
    <font>
      <sz val="11"/>
      <color theme="0"/>
      <name val="Calibri"/>
      <family val="2"/>
      <scheme val="minor"/>
    </font>
    <font>
      <b/>
      <sz val="10"/>
      <color rgb="FFFFFFFF"/>
      <name val="Calibri"/>
      <scheme val="minor"/>
    </font>
    <font>
      <b/>
      <sz val="10"/>
      <color rgb="FF000000"/>
      <name val="Calibri"/>
      <scheme val="minor"/>
    </font>
    <font>
      <b/>
      <sz val="14"/>
      <color rgb="FF000000"/>
      <name val="Calibri"/>
      <scheme val="minor"/>
    </font>
    <font>
      <b/>
      <sz val="10"/>
      <color rgb="FFFFFFFF"/>
      <name val="Calibri"/>
      <family val="2"/>
      <scheme val="minor"/>
    </font>
    <font>
      <b/>
      <sz val="16"/>
      <color theme="0"/>
      <name val="Calibri"/>
      <family val="2"/>
      <scheme val="minor"/>
    </font>
    <font>
      <b/>
      <sz val="18"/>
      <color rgb="FF000000"/>
      <name val="Calibri"/>
      <family val="2"/>
      <scheme val="minor"/>
    </font>
    <font>
      <u/>
      <sz val="11"/>
      <color theme="10"/>
      <name val="Calibri"/>
      <family val="2"/>
      <scheme val="minor"/>
    </font>
  </fonts>
  <fills count="12">
    <fill>
      <patternFill patternType="none"/>
    </fill>
    <fill>
      <patternFill patternType="gray125"/>
    </fill>
    <fill>
      <patternFill patternType="solid">
        <fgColor theme="1" tint="0.499984740745262"/>
        <bgColor indexed="64"/>
      </patternFill>
    </fill>
    <fill>
      <patternFill patternType="solid">
        <fgColor theme="1"/>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000000"/>
        <bgColor indexed="64"/>
      </patternFill>
    </fill>
    <fill>
      <patternFill patternType="solid">
        <fgColor rgb="FFFFFFFF"/>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0" tint="-4.9989318521683403E-2"/>
        <bgColor indexed="64"/>
      </patternFill>
    </fill>
  </fills>
  <borders count="94">
    <border>
      <left/>
      <right/>
      <top/>
      <bottom/>
      <diagonal/>
    </border>
    <border>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style="thin">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medium">
        <color rgb="FF000000"/>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rgb="FF000000"/>
      </top>
      <bottom/>
      <diagonal/>
    </border>
    <border>
      <left/>
      <right style="medium">
        <color indexed="64"/>
      </right>
      <top style="medium">
        <color rgb="FF000000"/>
      </top>
      <bottom/>
      <diagonal/>
    </border>
    <border>
      <left style="medium">
        <color indexed="64"/>
      </left>
      <right/>
      <top style="medium">
        <color rgb="FF000000"/>
      </top>
      <bottom style="medium">
        <color indexed="64"/>
      </bottom>
      <diagonal/>
    </border>
    <border>
      <left/>
      <right/>
      <top style="medium">
        <color rgb="FF000000"/>
      </top>
      <bottom style="medium">
        <color indexed="64"/>
      </bottom>
      <diagonal/>
    </border>
    <border>
      <left/>
      <right style="medium">
        <color indexed="64"/>
      </right>
      <top style="medium">
        <color rgb="FF000000"/>
      </top>
      <bottom style="medium">
        <color indexed="64"/>
      </bottom>
      <diagonal/>
    </border>
    <border>
      <left style="medium">
        <color indexed="64"/>
      </left>
      <right/>
      <top style="medium">
        <color indexed="64"/>
      </top>
      <bottom style="medium">
        <color indexed="64"/>
      </bottom>
      <diagonal/>
    </border>
    <border>
      <left style="medium">
        <color rgb="FF000000"/>
      </left>
      <right/>
      <top style="medium">
        <color rgb="FF000000"/>
      </top>
      <bottom style="medium">
        <color indexed="64"/>
      </bottom>
      <diagonal/>
    </border>
    <border>
      <left/>
      <right style="medium">
        <color rgb="FF000000"/>
      </right>
      <top style="medium">
        <color rgb="FF000000"/>
      </top>
      <bottom style="medium">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style="thin">
        <color indexed="64"/>
      </left>
      <right/>
      <top/>
      <bottom/>
      <diagonal/>
    </border>
    <border>
      <left/>
      <right style="medium">
        <color indexed="64"/>
      </right>
      <top style="thin">
        <color indexed="64"/>
      </top>
      <bottom/>
      <diagonal/>
    </border>
    <border>
      <left style="medium">
        <color indexed="64"/>
      </left>
      <right style="medium">
        <color indexed="64"/>
      </right>
      <top style="thin">
        <color indexed="64"/>
      </top>
      <bottom/>
      <diagonal/>
    </border>
    <border>
      <left style="medium">
        <color indexed="64"/>
      </left>
      <right style="thin">
        <color indexed="64"/>
      </right>
      <top/>
      <bottom/>
      <diagonal/>
    </border>
    <border>
      <left/>
      <right/>
      <top style="thin">
        <color indexed="64"/>
      </top>
      <bottom/>
      <diagonal/>
    </border>
    <border>
      <left style="medium">
        <color indexed="64"/>
      </left>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bottom/>
      <diagonal/>
    </border>
    <border>
      <left style="medium">
        <color indexed="64"/>
      </left>
      <right style="medium">
        <color rgb="FF000000"/>
      </right>
      <top style="medium">
        <color rgb="FF000000"/>
      </top>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rgb="FF000000"/>
      </left>
      <right style="medium">
        <color indexed="64"/>
      </right>
      <top style="medium">
        <color rgb="FF000000"/>
      </top>
      <bottom/>
      <diagonal/>
    </border>
  </borders>
  <cellStyleXfs count="2">
    <xf numFmtId="0" fontId="0" fillId="0" borderId="0"/>
    <xf numFmtId="0" fontId="13" fillId="0" borderId="0" applyNumberFormat="0" applyFill="0" applyBorder="0" applyAlignment="0" applyProtection="0"/>
  </cellStyleXfs>
  <cellXfs count="310">
    <xf numFmtId="0" fontId="0" fillId="0" borderId="0" xfId="0"/>
    <xf numFmtId="0" fontId="0" fillId="0" borderId="0" xfId="0" applyProtection="1"/>
    <xf numFmtId="0" fontId="8" fillId="7" borderId="0" xfId="0" applyFont="1" applyFill="1" applyAlignment="1" applyProtection="1">
      <alignment horizontal="left" vertical="center" wrapText="1"/>
    </xf>
    <xf numFmtId="0" fontId="7" fillId="6" borderId="39" xfId="0" applyFont="1" applyFill="1" applyBorder="1" applyAlignment="1" applyProtection="1">
      <alignment horizontal="center" vertical="center" wrapText="1"/>
    </xf>
    <xf numFmtId="0" fontId="0" fillId="0" borderId="30" xfId="0" applyBorder="1" applyAlignment="1" applyProtection="1">
      <alignment horizontal="left" vertical="center"/>
    </xf>
    <xf numFmtId="0" fontId="10" fillId="6" borderId="45" xfId="0" applyFont="1" applyFill="1" applyBorder="1" applyAlignment="1" applyProtection="1">
      <alignment horizontal="center" vertical="center" wrapText="1"/>
    </xf>
    <xf numFmtId="0" fontId="10" fillId="6" borderId="57" xfId="0" applyFont="1" applyFill="1" applyBorder="1" applyAlignment="1" applyProtection="1">
      <alignment horizontal="center" vertical="center" wrapText="1"/>
    </xf>
    <xf numFmtId="0" fontId="10" fillId="6" borderId="54" xfId="0" applyFont="1" applyFill="1" applyBorder="1" applyAlignment="1" applyProtection="1">
      <alignment horizontal="center" vertical="center" wrapText="1"/>
    </xf>
    <xf numFmtId="0" fontId="10" fillId="6" borderId="58" xfId="0" applyFont="1" applyFill="1" applyBorder="1" applyAlignment="1" applyProtection="1">
      <alignment horizontal="center" vertical="center" wrapText="1"/>
    </xf>
    <xf numFmtId="0" fontId="10" fillId="6" borderId="39" xfId="0" applyFont="1" applyFill="1" applyBorder="1" applyAlignment="1" applyProtection="1">
      <alignment horizontal="center" vertical="center" wrapText="1"/>
    </xf>
    <xf numFmtId="0" fontId="4" fillId="3" borderId="61" xfId="0" applyFont="1" applyFill="1" applyBorder="1" applyAlignment="1" applyProtection="1">
      <alignment horizontal="center"/>
    </xf>
    <xf numFmtId="0" fontId="6" fillId="3" borderId="2" xfId="0" applyFont="1" applyFill="1" applyBorder="1" applyAlignment="1" applyProtection="1">
      <alignment vertical="top" wrapText="1"/>
    </xf>
    <xf numFmtId="0" fontId="6" fillId="3" borderId="60" xfId="0" applyFont="1" applyFill="1" applyBorder="1" applyAlignment="1" applyProtection="1">
      <alignment vertical="top" wrapText="1"/>
    </xf>
    <xf numFmtId="0" fontId="1" fillId="3" borderId="17" xfId="0" applyFont="1" applyFill="1" applyBorder="1" applyAlignment="1" applyProtection="1">
      <alignment horizontal="center" vertical="center"/>
    </xf>
    <xf numFmtId="0" fontId="1" fillId="3" borderId="9" xfId="0" applyFont="1" applyFill="1" applyBorder="1" applyAlignment="1" applyProtection="1">
      <alignment horizontal="center" vertical="center"/>
    </xf>
    <xf numFmtId="0" fontId="3" fillId="3" borderId="61" xfId="0" applyFont="1" applyFill="1" applyBorder="1" applyAlignment="1" applyProtection="1">
      <alignment horizontal="center"/>
    </xf>
    <xf numFmtId="0" fontId="1" fillId="3" borderId="10" xfId="0" applyFont="1" applyFill="1" applyBorder="1" applyAlignment="1" applyProtection="1">
      <alignment horizontal="center" vertical="center"/>
    </xf>
    <xf numFmtId="0" fontId="1" fillId="3" borderId="2" xfId="0" applyFont="1" applyFill="1" applyBorder="1" applyAlignment="1" applyProtection="1">
      <alignment horizontal="center"/>
    </xf>
    <xf numFmtId="0" fontId="1" fillId="3" borderId="3" xfId="0" applyFont="1" applyFill="1" applyBorder="1" applyAlignment="1" applyProtection="1">
      <alignment vertical="center"/>
    </xf>
    <xf numFmtId="0" fontId="1" fillId="3" borderId="4" xfId="0" applyFont="1" applyFill="1" applyBorder="1" applyAlignment="1" applyProtection="1">
      <alignment vertical="center"/>
    </xf>
    <xf numFmtId="9" fontId="1" fillId="3" borderId="5" xfId="0" applyNumberFormat="1" applyFont="1" applyFill="1" applyBorder="1" applyAlignment="1" applyProtection="1">
      <alignment horizontal="center" vertical="center"/>
    </xf>
    <xf numFmtId="0" fontId="3" fillId="3" borderId="6" xfId="0" applyFont="1" applyFill="1" applyBorder="1" applyAlignment="1" applyProtection="1">
      <alignment horizontal="center" vertical="center"/>
    </xf>
    <xf numFmtId="0" fontId="4" fillId="3" borderId="6"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2" fillId="2" borderId="21" xfId="0" applyFont="1" applyFill="1" applyBorder="1" applyAlignment="1" applyProtection="1">
      <alignment horizontal="center" vertical="center"/>
    </xf>
    <xf numFmtId="0" fontId="2" fillId="2" borderId="20" xfId="0" applyFont="1" applyFill="1" applyBorder="1" applyAlignment="1" applyProtection="1">
      <alignment horizontal="center" vertical="center"/>
    </xf>
    <xf numFmtId="0" fontId="1" fillId="2" borderId="20" xfId="0" applyFont="1" applyFill="1" applyBorder="1" applyAlignment="1" applyProtection="1">
      <alignment vertical="center"/>
    </xf>
    <xf numFmtId="0" fontId="1" fillId="2" borderId="22" xfId="0" applyFont="1" applyFill="1" applyBorder="1" applyAlignment="1" applyProtection="1">
      <alignment vertical="center"/>
    </xf>
    <xf numFmtId="0" fontId="1" fillId="3" borderId="21" xfId="0" applyFont="1" applyFill="1" applyBorder="1" applyAlignment="1" applyProtection="1">
      <alignment horizontal="center" vertical="center"/>
    </xf>
    <xf numFmtId="0" fontId="1" fillId="3" borderId="23" xfId="0" applyFont="1" applyFill="1" applyBorder="1" applyAlignment="1" applyProtection="1">
      <alignment horizontal="center" vertical="center"/>
    </xf>
    <xf numFmtId="0" fontId="1" fillId="3" borderId="20" xfId="0" applyFont="1" applyFill="1" applyBorder="1" applyAlignment="1" applyProtection="1">
      <alignment horizontal="center" vertical="center"/>
    </xf>
    <xf numFmtId="0" fontId="1" fillId="3" borderId="22" xfId="0" applyFont="1" applyFill="1" applyBorder="1" applyAlignment="1" applyProtection="1">
      <alignment horizontal="center" vertical="center"/>
    </xf>
    <xf numFmtId="9" fontId="5" fillId="0" borderId="66" xfId="0" applyNumberFormat="1" applyFont="1" applyBorder="1" applyAlignment="1" applyProtection="1">
      <alignment horizontal="center" vertical="center"/>
    </xf>
    <xf numFmtId="0" fontId="0" fillId="0" borderId="67" xfId="0" applyBorder="1" applyProtection="1"/>
    <xf numFmtId="0" fontId="1" fillId="3" borderId="0" xfId="0" applyFont="1" applyFill="1" applyBorder="1" applyAlignment="1" applyProtection="1">
      <alignment horizontal="center" vertical="center"/>
    </xf>
    <xf numFmtId="0" fontId="1" fillId="3" borderId="25" xfId="0" applyFont="1" applyFill="1" applyBorder="1" applyAlignment="1" applyProtection="1">
      <alignment horizontal="center" vertical="center"/>
    </xf>
    <xf numFmtId="0" fontId="0" fillId="0" borderId="30" xfId="0" applyBorder="1" applyProtection="1"/>
    <xf numFmtId="9" fontId="5" fillId="0" borderId="31" xfId="0" applyNumberFormat="1" applyFont="1" applyBorder="1" applyAlignment="1" applyProtection="1">
      <alignment horizontal="center" vertical="center"/>
    </xf>
    <xf numFmtId="0" fontId="1" fillId="3" borderId="24" xfId="0" applyFont="1" applyFill="1" applyBorder="1" applyAlignment="1" applyProtection="1">
      <alignment horizontal="center" vertical="center"/>
    </xf>
    <xf numFmtId="9" fontId="5" fillId="0" borderId="5" xfId="0" applyNumberFormat="1" applyFont="1" applyBorder="1" applyAlignment="1" applyProtection="1">
      <alignment horizontal="center" vertical="center"/>
    </xf>
    <xf numFmtId="0" fontId="0" fillId="0" borderId="6" xfId="0" applyBorder="1" applyProtection="1"/>
    <xf numFmtId="9" fontId="5" fillId="3" borderId="81" xfId="0" applyNumberFormat="1" applyFont="1" applyFill="1" applyBorder="1" applyAlignment="1" applyProtection="1">
      <alignment horizontal="left" vertical="top"/>
    </xf>
    <xf numFmtId="0" fontId="0" fillId="3" borderId="76" xfId="0" applyFill="1" applyBorder="1" applyProtection="1"/>
    <xf numFmtId="0" fontId="4"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wrapText="1"/>
    </xf>
    <xf numFmtId="0" fontId="0" fillId="3" borderId="25" xfId="0" applyFill="1" applyBorder="1" applyAlignment="1" applyProtection="1">
      <alignment horizontal="left" vertical="top" wrapText="1"/>
    </xf>
    <xf numFmtId="0" fontId="1" fillId="3" borderId="49" xfId="0" applyFont="1" applyFill="1" applyBorder="1" applyAlignment="1" applyProtection="1">
      <alignment horizontal="center" vertical="center"/>
    </xf>
    <xf numFmtId="0" fontId="1" fillId="3" borderId="50" xfId="0" applyFont="1" applyFill="1" applyBorder="1" applyAlignment="1" applyProtection="1">
      <alignment horizontal="center" vertical="center"/>
    </xf>
    <xf numFmtId="0" fontId="0" fillId="0" borderId="7" xfId="0" applyBorder="1" applyAlignment="1" applyProtection="1">
      <alignment horizontal="left" vertical="center"/>
    </xf>
    <xf numFmtId="0" fontId="0" fillId="3" borderId="83" xfId="0" applyFill="1" applyBorder="1" applyProtection="1"/>
    <xf numFmtId="0" fontId="0" fillId="3" borderId="0" xfId="0" applyFill="1" applyBorder="1" applyProtection="1"/>
    <xf numFmtId="0" fontId="0" fillId="3" borderId="25" xfId="0" applyFill="1" applyBorder="1" applyProtection="1"/>
    <xf numFmtId="0" fontId="0" fillId="0" borderId="32" xfId="0" applyBorder="1" applyAlignment="1" applyProtection="1">
      <alignment horizontal="left" vertical="center"/>
    </xf>
    <xf numFmtId="0" fontId="5" fillId="3" borderId="83" xfId="0" applyFont="1" applyFill="1" applyBorder="1" applyProtection="1"/>
    <xf numFmtId="0" fontId="0" fillId="0" borderId="32" xfId="0" applyBorder="1" applyAlignment="1" applyProtection="1">
      <alignment vertical="center"/>
    </xf>
    <xf numFmtId="0" fontId="0" fillId="0" borderId="32" xfId="0" applyBorder="1" applyAlignment="1" applyProtection="1">
      <alignment horizontal="left" vertical="center" wrapText="1"/>
    </xf>
    <xf numFmtId="0" fontId="1" fillId="3" borderId="83" xfId="0" applyFont="1" applyFill="1" applyBorder="1" applyAlignment="1" applyProtection="1">
      <alignment horizontal="center" vertical="center"/>
    </xf>
    <xf numFmtId="0" fontId="0" fillId="0" borderId="30" xfId="0" applyBorder="1" applyAlignment="1" applyProtection="1">
      <alignment vertical="center"/>
    </xf>
    <xf numFmtId="0" fontId="0" fillId="0" borderId="30" xfId="0" applyBorder="1" applyAlignment="1" applyProtection="1">
      <alignment horizontal="left" vertical="center" wrapText="1"/>
    </xf>
    <xf numFmtId="0" fontId="0" fillId="0" borderId="30" xfId="0" applyBorder="1" applyAlignment="1" applyProtection="1">
      <alignment vertical="center" wrapText="1"/>
    </xf>
    <xf numFmtId="0" fontId="0" fillId="0" borderId="75" xfId="0" applyBorder="1" applyAlignment="1" applyProtection="1">
      <alignment horizontal="left" vertical="center" wrapText="1"/>
    </xf>
    <xf numFmtId="0" fontId="0" fillId="0" borderId="6" xfId="0" applyBorder="1" applyAlignment="1" applyProtection="1">
      <alignment horizontal="left" vertical="center" wrapText="1"/>
    </xf>
    <xf numFmtId="0" fontId="0" fillId="0" borderId="31" xfId="0" applyBorder="1" applyAlignment="1" applyProtection="1">
      <alignment horizontal="center" vertical="center"/>
      <protection locked="0"/>
    </xf>
    <xf numFmtId="0" fontId="0" fillId="0" borderId="30" xfId="0" applyBorder="1" applyAlignment="1" applyProtection="1">
      <alignment horizontal="left" vertical="center"/>
      <protection locked="0"/>
    </xf>
    <xf numFmtId="0" fontId="0" fillId="0" borderId="5" xfId="0" applyBorder="1" applyAlignment="1" applyProtection="1">
      <alignment horizontal="center" vertical="center"/>
      <protection locked="0"/>
    </xf>
    <xf numFmtId="0" fontId="0" fillId="0" borderId="6" xfId="0" applyBorder="1" applyAlignment="1" applyProtection="1">
      <alignment horizontal="left" vertical="center"/>
      <protection locked="0"/>
    </xf>
    <xf numFmtId="0" fontId="0" fillId="0" borderId="4" xfId="0" applyBorder="1" applyAlignment="1" applyProtection="1">
      <alignment horizontal="center" vertical="center"/>
      <protection locked="0"/>
    </xf>
    <xf numFmtId="0" fontId="0" fillId="0" borderId="32" xfId="0" applyBorder="1" applyAlignment="1" applyProtection="1">
      <alignment horizontal="center" vertical="center"/>
      <protection locked="0"/>
    </xf>
    <xf numFmtId="0" fontId="0" fillId="0" borderId="59" xfId="0" applyBorder="1" applyAlignment="1" applyProtection="1">
      <alignment horizontal="center" vertical="center"/>
      <protection locked="0"/>
    </xf>
    <xf numFmtId="0" fontId="7" fillId="6" borderId="87" xfId="0" applyFont="1" applyFill="1" applyBorder="1" applyAlignment="1" applyProtection="1">
      <alignment horizontal="center" vertical="center" wrapText="1"/>
    </xf>
    <xf numFmtId="0" fontId="10" fillId="6" borderId="87" xfId="0" applyFont="1" applyFill="1" applyBorder="1" applyAlignment="1" applyProtection="1">
      <alignment horizontal="center" vertical="center" wrapText="1"/>
    </xf>
    <xf numFmtId="0" fontId="10" fillId="6" borderId="93" xfId="0" applyFont="1" applyFill="1" applyBorder="1" applyAlignment="1" applyProtection="1">
      <alignment horizontal="center" vertical="center" wrapText="1"/>
    </xf>
    <xf numFmtId="0" fontId="0" fillId="0" borderId="88" xfId="0" applyFont="1" applyFill="1" applyBorder="1" applyAlignment="1" applyProtection="1">
      <alignment horizontal="center" vertical="center"/>
      <protection locked="0"/>
    </xf>
    <xf numFmtId="0" fontId="0" fillId="0" borderId="89" xfId="0" applyFont="1" applyFill="1" applyBorder="1" applyAlignment="1" applyProtection="1">
      <alignment horizontal="center" vertical="center"/>
      <protection locked="0"/>
    </xf>
    <xf numFmtId="9" fontId="5" fillId="0" borderId="31" xfId="0" applyNumberFormat="1" applyFont="1" applyBorder="1" applyAlignment="1" applyProtection="1">
      <alignment horizontal="center" vertical="center"/>
    </xf>
    <xf numFmtId="0" fontId="0" fillId="0" borderId="32" xfId="0" applyBorder="1" applyAlignment="1" applyProtection="1">
      <alignment horizontal="left" vertical="center"/>
    </xf>
    <xf numFmtId="2" fontId="5" fillId="0" borderId="5" xfId="0" applyNumberFormat="1" applyFont="1" applyBorder="1" applyAlignment="1" applyProtection="1">
      <alignment horizontal="center" vertical="center"/>
    </xf>
    <xf numFmtId="2" fontId="5" fillId="0" borderId="31" xfId="0" applyNumberFormat="1" applyFont="1" applyBorder="1" applyAlignment="1" applyProtection="1">
      <alignment horizontal="center" vertical="center"/>
    </xf>
    <xf numFmtId="0" fontId="0" fillId="0" borderId="30" xfId="0" applyBorder="1" applyAlignment="1" applyProtection="1">
      <alignment wrapText="1"/>
    </xf>
    <xf numFmtId="0" fontId="0" fillId="0" borderId="6" xfId="0" applyBorder="1" applyAlignment="1" applyProtection="1">
      <alignment wrapText="1"/>
    </xf>
    <xf numFmtId="0" fontId="5" fillId="0" borderId="31" xfId="0" applyNumberFormat="1" applyFont="1" applyBorder="1" applyAlignment="1" applyProtection="1">
      <alignment horizontal="center" vertical="center"/>
    </xf>
    <xf numFmtId="0" fontId="5" fillId="0" borderId="5" xfId="0" applyNumberFormat="1" applyFont="1" applyBorder="1" applyAlignment="1" applyProtection="1">
      <alignment horizontal="center" vertical="center"/>
    </xf>
    <xf numFmtId="0" fontId="5" fillId="0" borderId="60" xfId="0" applyNumberFormat="1" applyFont="1" applyBorder="1" applyAlignment="1" applyProtection="1">
      <alignment horizontal="center" vertical="center"/>
    </xf>
    <xf numFmtId="0" fontId="0" fillId="0" borderId="28" xfId="0" applyBorder="1" applyAlignment="1" applyProtection="1">
      <alignment horizontal="center" vertical="center"/>
      <protection locked="0"/>
    </xf>
    <xf numFmtId="0" fontId="0" fillId="0" borderId="13" xfId="0" applyBorder="1" applyAlignment="1" applyProtection="1">
      <alignment horizontal="center" vertical="center"/>
      <protection locked="0"/>
    </xf>
    <xf numFmtId="0" fontId="0" fillId="0" borderId="35" xfId="0" applyBorder="1" applyAlignment="1" applyProtection="1">
      <alignment horizontal="center" vertical="center"/>
      <protection locked="0"/>
    </xf>
    <xf numFmtId="0" fontId="10" fillId="6" borderId="57" xfId="0" applyFont="1" applyFill="1" applyBorder="1" applyAlignment="1" applyProtection="1">
      <alignment horizontal="center" vertical="center" wrapText="1"/>
    </xf>
    <xf numFmtId="0" fontId="10" fillId="6" borderId="54" xfId="0" applyFont="1" applyFill="1" applyBorder="1" applyAlignment="1" applyProtection="1">
      <alignment horizontal="center" vertical="center" wrapText="1"/>
    </xf>
    <xf numFmtId="0" fontId="10" fillId="6" borderId="58" xfId="0" applyFont="1" applyFill="1" applyBorder="1" applyAlignment="1" applyProtection="1">
      <alignment horizontal="center" vertical="center" wrapText="1"/>
    </xf>
    <xf numFmtId="0" fontId="0" fillId="0" borderId="26"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33" xfId="0" applyBorder="1" applyAlignment="1" applyProtection="1">
      <alignment horizontal="center" vertical="center"/>
      <protection locked="0"/>
    </xf>
    <xf numFmtId="0" fontId="0" fillId="0" borderId="27" xfId="0" applyBorder="1" applyAlignment="1" applyProtection="1">
      <alignment horizontal="center" vertical="center"/>
      <protection locked="0"/>
    </xf>
    <xf numFmtId="0" fontId="0" fillId="0" borderId="12" xfId="0" applyBorder="1" applyAlignment="1" applyProtection="1">
      <alignment horizontal="center" vertical="center"/>
      <protection locked="0"/>
    </xf>
    <xf numFmtId="0" fontId="0" fillId="0" borderId="34" xfId="0" applyBorder="1" applyAlignment="1" applyProtection="1">
      <alignment horizontal="center" vertical="center"/>
      <protection locked="0"/>
    </xf>
    <xf numFmtId="0" fontId="7" fillId="6" borderId="48" xfId="0" applyFont="1" applyFill="1" applyBorder="1" applyAlignment="1" applyProtection="1">
      <alignment horizontal="center" vertical="center" wrapText="1"/>
    </xf>
    <xf numFmtId="0" fontId="7" fillId="6" borderId="49" xfId="0" applyFont="1" applyFill="1" applyBorder="1" applyAlignment="1" applyProtection="1">
      <alignment horizontal="center" vertical="center" wrapText="1"/>
    </xf>
    <xf numFmtId="0" fontId="7" fillId="6" borderId="50" xfId="0" applyFont="1" applyFill="1" applyBorder="1" applyAlignment="1" applyProtection="1">
      <alignment horizontal="center" vertical="center" wrapText="1"/>
    </xf>
    <xf numFmtId="0" fontId="10" fillId="6" borderId="56" xfId="0" applyFont="1" applyFill="1" applyBorder="1" applyAlignment="1" applyProtection="1">
      <alignment horizontal="center" vertical="center" wrapText="1"/>
    </xf>
    <xf numFmtId="0" fontId="10" fillId="6" borderId="11" xfId="0" applyFont="1" applyFill="1" applyBorder="1" applyAlignment="1" applyProtection="1">
      <alignment horizontal="center" vertical="center" wrapText="1"/>
    </xf>
    <xf numFmtId="0" fontId="0" fillId="0" borderId="62" xfId="0" applyBorder="1" applyAlignment="1" applyProtection="1">
      <alignment horizontal="center" vertical="top" wrapText="1"/>
    </xf>
    <xf numFmtId="0" fontId="0" fillId="0" borderId="49" xfId="0" applyBorder="1" applyAlignment="1" applyProtection="1">
      <alignment horizontal="center" vertical="top" wrapText="1"/>
    </xf>
    <xf numFmtId="0" fontId="0" fillId="0" borderId="50" xfId="0" applyBorder="1" applyAlignment="1" applyProtection="1">
      <alignment horizontal="center" vertical="top" wrapText="1"/>
    </xf>
    <xf numFmtId="0" fontId="0" fillId="0" borderId="63" xfId="0" applyBorder="1" applyAlignment="1" applyProtection="1">
      <alignment horizontal="center" vertical="top" wrapText="1"/>
    </xf>
    <xf numFmtId="0" fontId="0" fillId="0" borderId="1" xfId="0" applyBorder="1" applyAlignment="1" applyProtection="1">
      <alignment horizontal="center" vertical="top" wrapText="1"/>
    </xf>
    <xf numFmtId="0" fontId="0" fillId="0" borderId="15" xfId="0" applyBorder="1" applyAlignment="1" applyProtection="1">
      <alignment horizontal="center" vertical="top" wrapText="1"/>
    </xf>
    <xf numFmtId="0" fontId="10" fillId="6" borderId="46" xfId="0" applyFont="1" applyFill="1" applyBorder="1" applyAlignment="1" applyProtection="1">
      <alignment horizontal="center" vertical="center" wrapText="1"/>
    </xf>
    <xf numFmtId="0" fontId="7" fillId="6" borderId="0" xfId="0" applyFont="1" applyFill="1" applyBorder="1" applyAlignment="1" applyProtection="1">
      <alignment horizontal="center" vertical="center" wrapText="1"/>
    </xf>
    <xf numFmtId="0" fontId="0" fillId="0" borderId="34" xfId="0" applyBorder="1" applyAlignment="1" applyProtection="1">
      <alignment horizontal="center"/>
    </xf>
    <xf numFmtId="0" fontId="0" fillId="0" borderId="30" xfId="0" applyBorder="1" applyAlignment="1" applyProtection="1">
      <alignment horizontal="center"/>
    </xf>
    <xf numFmtId="0" fontId="0" fillId="0" borderId="32" xfId="0" applyBorder="1" applyAlignment="1" applyProtection="1">
      <alignment horizontal="center"/>
    </xf>
    <xf numFmtId="0" fontId="1" fillId="3" borderId="56" xfId="0" applyFont="1" applyFill="1" applyBorder="1" applyAlignment="1" applyProtection="1">
      <alignment horizontal="right" vertical="center"/>
    </xf>
    <xf numFmtId="0" fontId="1" fillId="3" borderId="11" xfId="0" applyFont="1" applyFill="1" applyBorder="1" applyAlignment="1" applyProtection="1">
      <alignment horizontal="right" vertical="center"/>
    </xf>
    <xf numFmtId="0" fontId="1" fillId="3" borderId="72" xfId="0" applyFont="1" applyFill="1" applyBorder="1" applyAlignment="1" applyProtection="1">
      <alignment horizontal="right" vertical="center"/>
    </xf>
    <xf numFmtId="0" fontId="10" fillId="6" borderId="90" xfId="0" applyFont="1" applyFill="1" applyBorder="1" applyAlignment="1" applyProtection="1">
      <alignment horizontal="center" vertical="center" wrapText="1"/>
    </xf>
    <xf numFmtId="0" fontId="10" fillId="6" borderId="91" xfId="0" applyFont="1" applyFill="1" applyBorder="1" applyAlignment="1" applyProtection="1">
      <alignment horizontal="center" vertical="center" wrapText="1"/>
    </xf>
    <xf numFmtId="0" fontId="10" fillId="6" borderId="92" xfId="0" applyFont="1" applyFill="1" applyBorder="1" applyAlignment="1" applyProtection="1">
      <alignment horizontal="center" vertical="center" wrapText="1"/>
    </xf>
    <xf numFmtId="0" fontId="10" fillId="6" borderId="42" xfId="0" applyFont="1" applyFill="1" applyBorder="1" applyAlignment="1" applyProtection="1">
      <alignment horizontal="center" vertical="center" wrapText="1"/>
    </xf>
    <xf numFmtId="0" fontId="10" fillId="6" borderId="43" xfId="0" applyFont="1" applyFill="1" applyBorder="1" applyAlignment="1" applyProtection="1">
      <alignment horizontal="center" vertical="center" wrapText="1"/>
    </xf>
    <xf numFmtId="0" fontId="6" fillId="11" borderId="48" xfId="0" applyFont="1" applyFill="1" applyBorder="1" applyAlignment="1">
      <alignment horizontal="center"/>
    </xf>
    <xf numFmtId="0" fontId="6" fillId="11" borderId="49" xfId="0" applyFont="1" applyFill="1" applyBorder="1" applyAlignment="1">
      <alignment horizontal="center"/>
    </xf>
    <xf numFmtId="0" fontId="6" fillId="11" borderId="21" xfId="0" applyFont="1" applyFill="1" applyBorder="1" applyAlignment="1">
      <alignment horizontal="center"/>
    </xf>
    <xf numFmtId="0" fontId="6" fillId="11" borderId="20" xfId="0" applyFont="1" applyFill="1" applyBorder="1" applyAlignment="1">
      <alignment horizontal="center"/>
    </xf>
    <xf numFmtId="0" fontId="0" fillId="4" borderId="40" xfId="0" applyFill="1" applyBorder="1" applyAlignment="1" applyProtection="1">
      <alignment horizontal="center"/>
    </xf>
    <xf numFmtId="0" fontId="0" fillId="4" borderId="52" xfId="0" applyFill="1" applyBorder="1" applyAlignment="1" applyProtection="1">
      <alignment horizontal="center"/>
    </xf>
    <xf numFmtId="0" fontId="10" fillId="6" borderId="53" xfId="0" applyFont="1" applyFill="1" applyBorder="1" applyAlignment="1" applyProtection="1">
      <alignment horizontal="center" vertical="center" wrapText="1"/>
    </xf>
    <xf numFmtId="0" fontId="7" fillId="6" borderId="54" xfId="0" applyFont="1" applyFill="1" applyBorder="1" applyAlignment="1" applyProtection="1">
      <alignment horizontal="center" vertical="center" wrapText="1"/>
    </xf>
    <xf numFmtId="0" fontId="0" fillId="4" borderId="54" xfId="0" applyFill="1" applyBorder="1" applyAlignment="1" applyProtection="1">
      <alignment horizontal="center"/>
    </xf>
    <xf numFmtId="0" fontId="0" fillId="4" borderId="55" xfId="0" applyFill="1" applyBorder="1" applyAlignment="1" applyProtection="1">
      <alignment horizontal="center"/>
    </xf>
    <xf numFmtId="0" fontId="7" fillId="6" borderId="11" xfId="0" applyFont="1" applyFill="1" applyBorder="1" applyAlignment="1" applyProtection="1">
      <alignment horizontal="center" vertical="center" wrapText="1"/>
    </xf>
    <xf numFmtId="0" fontId="0" fillId="5" borderId="11" xfId="0" applyFill="1" applyBorder="1" applyAlignment="1" applyProtection="1">
      <alignment horizontal="center"/>
    </xf>
    <xf numFmtId="0" fontId="0" fillId="5" borderId="14" xfId="0" applyFill="1" applyBorder="1" applyAlignment="1" applyProtection="1">
      <alignment horizontal="center"/>
    </xf>
    <xf numFmtId="0" fontId="7" fillId="6" borderId="36" xfId="0" applyFont="1" applyFill="1" applyBorder="1" applyAlignment="1" applyProtection="1">
      <alignment horizontal="center" vertical="center" wrapText="1"/>
    </xf>
    <xf numFmtId="0" fontId="7" fillId="6" borderId="37" xfId="0" applyFont="1" applyFill="1" applyBorder="1" applyAlignment="1" applyProtection="1">
      <alignment horizontal="center" vertical="center" wrapText="1"/>
    </xf>
    <xf numFmtId="0" fontId="7" fillId="6" borderId="38" xfId="0" applyFont="1" applyFill="1" applyBorder="1" applyAlignment="1" applyProtection="1">
      <alignment horizontal="center" vertical="center" wrapText="1"/>
    </xf>
    <xf numFmtId="0" fontId="9" fillId="9" borderId="39" xfId="0" applyFont="1" applyFill="1" applyBorder="1" applyAlignment="1" applyProtection="1">
      <alignment horizontal="center" vertical="center" wrapText="1"/>
    </xf>
    <xf numFmtId="0" fontId="9" fillId="9" borderId="40" xfId="0" applyFont="1" applyFill="1" applyBorder="1" applyAlignment="1" applyProtection="1">
      <alignment horizontal="center" vertical="center" wrapText="1"/>
    </xf>
    <xf numFmtId="0" fontId="9" fillId="9" borderId="41" xfId="0" applyFont="1" applyFill="1" applyBorder="1" applyAlignment="1" applyProtection="1">
      <alignment horizontal="center" vertical="center" wrapText="1"/>
    </xf>
    <xf numFmtId="0" fontId="9" fillId="9" borderId="46" xfId="0" applyFont="1" applyFill="1" applyBorder="1" applyAlignment="1" applyProtection="1">
      <alignment horizontal="center" vertical="center" wrapText="1"/>
    </xf>
    <xf numFmtId="0" fontId="9" fillId="9" borderId="0" xfId="0" applyFont="1" applyFill="1" applyBorder="1" applyAlignment="1" applyProtection="1">
      <alignment horizontal="center" vertical="center" wrapText="1"/>
    </xf>
    <xf numFmtId="0" fontId="9" fillId="9" borderId="47" xfId="0" applyFont="1" applyFill="1" applyBorder="1" applyAlignment="1" applyProtection="1">
      <alignment horizontal="center" vertical="center" wrapText="1"/>
    </xf>
    <xf numFmtId="0" fontId="10" fillId="6" borderId="48" xfId="0" applyFont="1" applyFill="1" applyBorder="1" applyAlignment="1" applyProtection="1">
      <alignment horizontal="center" vertical="center" wrapText="1"/>
    </xf>
    <xf numFmtId="0" fontId="0" fillId="4" borderId="49" xfId="0" applyFill="1" applyBorder="1" applyAlignment="1" applyProtection="1">
      <alignment horizontal="center"/>
    </xf>
    <xf numFmtId="0" fontId="0" fillId="4" borderId="50" xfId="0" applyFill="1" applyBorder="1" applyAlignment="1" applyProtection="1">
      <alignment horizontal="center"/>
    </xf>
    <xf numFmtId="0" fontId="10" fillId="6" borderId="51" xfId="0" applyFont="1" applyFill="1" applyBorder="1" applyAlignment="1" applyProtection="1">
      <alignment horizontal="center" vertical="center" wrapText="1"/>
    </xf>
    <xf numFmtId="0" fontId="7" fillId="6" borderId="40" xfId="0" applyFont="1" applyFill="1" applyBorder="1" applyAlignment="1" applyProtection="1">
      <alignment horizontal="center" vertical="center" wrapText="1"/>
    </xf>
    <xf numFmtId="0" fontId="7" fillId="6" borderId="39" xfId="0" applyFont="1" applyFill="1" applyBorder="1" applyAlignment="1" applyProtection="1">
      <alignment horizontal="center" vertical="center" wrapText="1"/>
    </xf>
    <xf numFmtId="0" fontId="7" fillId="6" borderId="52" xfId="0" applyFont="1" applyFill="1" applyBorder="1" applyAlignment="1" applyProtection="1">
      <alignment horizontal="center" vertical="center" wrapText="1"/>
    </xf>
    <xf numFmtId="0" fontId="5" fillId="8" borderId="2" xfId="0" applyFont="1" applyFill="1" applyBorder="1" applyAlignment="1" applyProtection="1">
      <alignment horizontal="center" vertical="center"/>
    </xf>
    <xf numFmtId="0" fontId="5" fillId="8" borderId="4" xfId="0" applyFont="1" applyFill="1" applyBorder="1" applyAlignment="1" applyProtection="1">
      <alignment horizontal="center" vertical="center"/>
    </xf>
    <xf numFmtId="0" fontId="9" fillId="8" borderId="39" xfId="0" applyFont="1" applyFill="1" applyBorder="1" applyAlignment="1" applyProtection="1">
      <alignment horizontal="center" vertical="center" wrapText="1"/>
    </xf>
    <xf numFmtId="0" fontId="9" fillId="8" borderId="40" xfId="0" applyFont="1" applyFill="1" applyBorder="1" applyAlignment="1" applyProtection="1">
      <alignment horizontal="center" vertical="center" wrapText="1"/>
    </xf>
    <xf numFmtId="0" fontId="9" fillId="8" borderId="41" xfId="0" applyFont="1" applyFill="1" applyBorder="1" applyAlignment="1" applyProtection="1">
      <alignment horizontal="center" vertical="center" wrapText="1"/>
    </xf>
    <xf numFmtId="0" fontId="9" fillId="8" borderId="46" xfId="0" applyFont="1" applyFill="1" applyBorder="1" applyAlignment="1" applyProtection="1">
      <alignment horizontal="center" vertical="center" wrapText="1"/>
    </xf>
    <xf numFmtId="0" fontId="9" fillId="8" borderId="0" xfId="0" applyFont="1" applyFill="1" applyBorder="1" applyAlignment="1" applyProtection="1">
      <alignment horizontal="center" vertical="center" wrapText="1"/>
    </xf>
    <xf numFmtId="0" fontId="9" fillId="8" borderId="47" xfId="0" applyFont="1" applyFill="1" applyBorder="1" applyAlignment="1" applyProtection="1">
      <alignment horizontal="center" vertical="center" wrapText="1"/>
    </xf>
    <xf numFmtId="0" fontId="0" fillId="5" borderId="49" xfId="0" applyFill="1" applyBorder="1" applyAlignment="1" applyProtection="1">
      <alignment horizontal="center"/>
    </xf>
    <xf numFmtId="0" fontId="0" fillId="5" borderId="50" xfId="0" applyFill="1" applyBorder="1" applyAlignment="1" applyProtection="1">
      <alignment horizontal="center"/>
    </xf>
    <xf numFmtId="0" fontId="0" fillId="0" borderId="30" xfId="0" applyFill="1" applyBorder="1" applyAlignment="1" applyProtection="1">
      <alignment horizontal="center" vertical="center"/>
      <protection locked="0"/>
    </xf>
    <xf numFmtId="0" fontId="0" fillId="0" borderId="6" xfId="0" applyFill="1" applyBorder="1" applyAlignment="1" applyProtection="1">
      <alignment horizontal="center" vertical="center"/>
      <protection locked="0"/>
    </xf>
    <xf numFmtId="0" fontId="0" fillId="0" borderId="30" xfId="0" applyFill="1" applyBorder="1" applyAlignment="1" applyProtection="1">
      <alignment horizontal="left" vertical="center"/>
      <protection locked="0"/>
    </xf>
    <xf numFmtId="0" fontId="0" fillId="5" borderId="40" xfId="0" applyFill="1" applyBorder="1" applyAlignment="1" applyProtection="1">
      <alignment horizontal="center"/>
    </xf>
    <xf numFmtId="0" fontId="0" fillId="5" borderId="52" xfId="0" applyFill="1" applyBorder="1" applyAlignment="1" applyProtection="1">
      <alignment horizontal="center"/>
    </xf>
    <xf numFmtId="0" fontId="0" fillId="5" borderId="54" xfId="0" applyFill="1" applyBorder="1" applyAlignment="1" applyProtection="1">
      <alignment horizontal="center"/>
    </xf>
    <xf numFmtId="0" fontId="0" fillId="5" borderId="55" xfId="0" applyFill="1" applyBorder="1" applyAlignment="1" applyProtection="1">
      <alignment horizontal="center"/>
    </xf>
    <xf numFmtId="0" fontId="0" fillId="11" borderId="50" xfId="0" applyFill="1" applyBorder="1" applyAlignment="1" applyProtection="1">
      <alignment horizontal="center" vertical="center"/>
      <protection locked="0"/>
    </xf>
    <xf numFmtId="0" fontId="0" fillId="11" borderId="22" xfId="0" applyFill="1" applyBorder="1" applyAlignment="1" applyProtection="1">
      <alignment horizontal="center" vertical="center"/>
      <protection locked="0"/>
    </xf>
    <xf numFmtId="0" fontId="0" fillId="0" borderId="31" xfId="0" applyBorder="1" applyAlignment="1" applyProtection="1">
      <alignment horizontal="center"/>
      <protection locked="0"/>
    </xf>
    <xf numFmtId="0" fontId="0" fillId="0" borderId="30" xfId="0" applyBorder="1" applyAlignment="1" applyProtection="1">
      <alignment horizontal="center"/>
      <protection locked="0"/>
    </xf>
    <xf numFmtId="0" fontId="0" fillId="0" borderId="32" xfId="0" applyBorder="1" applyAlignment="1" applyProtection="1">
      <alignment horizontal="center"/>
      <protection locked="0"/>
    </xf>
    <xf numFmtId="0" fontId="0" fillId="0" borderId="27" xfId="0" applyBorder="1" applyAlignment="1" applyProtection="1">
      <alignment horizontal="center"/>
      <protection locked="0"/>
    </xf>
    <xf numFmtId="0" fontId="0" fillId="0" borderId="12" xfId="0" applyBorder="1" applyAlignment="1" applyProtection="1">
      <alignment horizontal="center"/>
      <protection locked="0"/>
    </xf>
    <xf numFmtId="0" fontId="0" fillId="0" borderId="16" xfId="0" applyBorder="1" applyAlignment="1" applyProtection="1">
      <alignment horizontal="center"/>
      <protection locked="0"/>
    </xf>
    <xf numFmtId="0" fontId="2" fillId="3" borderId="48" xfId="0" applyFont="1" applyFill="1" applyBorder="1" applyAlignment="1" applyProtection="1">
      <alignment horizontal="center" vertical="center"/>
    </xf>
    <xf numFmtId="0" fontId="2" fillId="3" borderId="49" xfId="0" applyFont="1" applyFill="1" applyBorder="1" applyAlignment="1" applyProtection="1">
      <alignment horizontal="center" vertical="center"/>
    </xf>
    <xf numFmtId="0" fontId="2" fillId="3" borderId="50" xfId="0" applyFont="1" applyFill="1" applyBorder="1" applyAlignment="1" applyProtection="1">
      <alignment horizontal="center" vertical="center"/>
    </xf>
    <xf numFmtId="0" fontId="2" fillId="3" borderId="21" xfId="0" applyFont="1" applyFill="1" applyBorder="1" applyAlignment="1" applyProtection="1">
      <alignment horizontal="center" vertical="center"/>
    </xf>
    <xf numFmtId="0" fontId="2" fillId="3" borderId="20" xfId="0" applyFont="1" applyFill="1" applyBorder="1" applyAlignment="1" applyProtection="1">
      <alignment horizontal="center" vertical="center"/>
    </xf>
    <xf numFmtId="0" fontId="2" fillId="3" borderId="22" xfId="0" applyFont="1" applyFill="1" applyBorder="1" applyAlignment="1" applyProtection="1">
      <alignment horizontal="center" vertical="center"/>
    </xf>
    <xf numFmtId="0" fontId="0" fillId="0" borderId="5" xfId="0" applyBorder="1" applyAlignment="1" applyProtection="1">
      <alignment horizontal="center"/>
      <protection locked="0"/>
    </xf>
    <xf numFmtId="0" fontId="0" fillId="0" borderId="6" xfId="0" applyBorder="1" applyAlignment="1" applyProtection="1">
      <alignment horizontal="center"/>
      <protection locked="0"/>
    </xf>
    <xf numFmtId="0" fontId="0" fillId="0" borderId="7" xfId="0" applyBorder="1" applyAlignment="1" applyProtection="1">
      <alignment horizontal="center"/>
      <protection locked="0"/>
    </xf>
    <xf numFmtId="0" fontId="10" fillId="6" borderId="36" xfId="0" applyFont="1" applyFill="1" applyBorder="1" applyAlignment="1" applyProtection="1">
      <alignment horizontal="center" vertical="center" wrapText="1"/>
    </xf>
    <xf numFmtId="0" fontId="12" fillId="7" borderId="39" xfId="0" applyFont="1" applyFill="1" applyBorder="1" applyAlignment="1" applyProtection="1">
      <alignment horizontal="center" vertical="center" wrapText="1"/>
      <protection locked="0"/>
    </xf>
    <xf numFmtId="0" fontId="12" fillId="7" borderId="40" xfId="0" applyFont="1" applyFill="1" applyBorder="1" applyAlignment="1" applyProtection="1">
      <alignment horizontal="center" vertical="center" wrapText="1"/>
      <protection locked="0"/>
    </xf>
    <xf numFmtId="0" fontId="12" fillId="7" borderId="41" xfId="0" applyFont="1" applyFill="1" applyBorder="1" applyAlignment="1" applyProtection="1">
      <alignment horizontal="center" vertical="center" wrapText="1"/>
      <protection locked="0"/>
    </xf>
    <xf numFmtId="0" fontId="12" fillId="7" borderId="42" xfId="0" applyFont="1" applyFill="1" applyBorder="1" applyAlignment="1" applyProtection="1">
      <alignment horizontal="center" vertical="center" wrapText="1"/>
      <protection locked="0"/>
    </xf>
    <xf numFmtId="0" fontId="12" fillId="7" borderId="43" xfId="0" applyFont="1" applyFill="1" applyBorder="1" applyAlignment="1" applyProtection="1">
      <alignment horizontal="center" vertical="center" wrapText="1"/>
      <protection locked="0"/>
    </xf>
    <xf numFmtId="0" fontId="12" fillId="7" borderId="44" xfId="0" applyFont="1" applyFill="1" applyBorder="1" applyAlignment="1" applyProtection="1">
      <alignment horizontal="center" vertical="center" wrapText="1"/>
      <protection locked="0"/>
    </xf>
    <xf numFmtId="0" fontId="0" fillId="0" borderId="6" xfId="0" applyFill="1" applyBorder="1" applyAlignment="1" applyProtection="1">
      <alignment horizontal="left" vertical="center"/>
      <protection locked="0"/>
    </xf>
    <xf numFmtId="0" fontId="0" fillId="4" borderId="11" xfId="0" applyFill="1" applyBorder="1" applyAlignment="1" applyProtection="1">
      <alignment horizontal="center"/>
    </xf>
    <xf numFmtId="0" fontId="0" fillId="4" borderId="14" xfId="0" applyFill="1" applyBorder="1" applyAlignment="1" applyProtection="1">
      <alignment horizontal="center"/>
    </xf>
    <xf numFmtId="0" fontId="0" fillId="0" borderId="35" xfId="0" applyBorder="1" applyAlignment="1" applyProtection="1">
      <alignment horizontal="center"/>
    </xf>
    <xf numFmtId="0" fontId="0" fillId="0" borderId="6" xfId="0" applyBorder="1" applyAlignment="1" applyProtection="1">
      <alignment horizontal="center"/>
    </xf>
    <xf numFmtId="0" fontId="0" fillId="0" borderId="7" xfId="0" applyBorder="1" applyAlignment="1" applyProtection="1">
      <alignment horizontal="center"/>
    </xf>
    <xf numFmtId="0" fontId="10" fillId="6" borderId="26" xfId="0" applyFont="1" applyFill="1" applyBorder="1" applyAlignment="1" applyProtection="1">
      <alignment horizontal="center" vertical="center" wrapText="1"/>
    </xf>
    <xf numFmtId="0" fontId="10" fillId="6" borderId="18" xfId="0" applyFont="1" applyFill="1" applyBorder="1" applyAlignment="1" applyProtection="1">
      <alignment horizontal="center" vertical="center" wrapText="1"/>
    </xf>
    <xf numFmtId="0" fontId="10" fillId="6" borderId="19" xfId="0" applyFont="1" applyFill="1" applyBorder="1" applyAlignment="1" applyProtection="1">
      <alignment horizontal="center" vertical="center" wrapText="1"/>
    </xf>
    <xf numFmtId="0" fontId="2" fillId="3" borderId="62" xfId="0" applyFont="1" applyFill="1" applyBorder="1" applyAlignment="1" applyProtection="1">
      <alignment horizontal="center" vertical="center"/>
    </xf>
    <xf numFmtId="0" fontId="2" fillId="3" borderId="73" xfId="0" applyFont="1" applyFill="1" applyBorder="1" applyAlignment="1" applyProtection="1">
      <alignment horizontal="center" vertical="center"/>
    </xf>
    <xf numFmtId="0" fontId="0" fillId="9" borderId="24" xfId="0" applyFill="1" applyBorder="1" applyAlignment="1" applyProtection="1">
      <alignment horizontal="center" vertical="center" wrapText="1"/>
      <protection locked="0"/>
    </xf>
    <xf numFmtId="0" fontId="0" fillId="9" borderId="8" xfId="0" applyFill="1" applyBorder="1" applyAlignment="1" applyProtection="1">
      <alignment horizontal="center" vertical="center" wrapText="1"/>
      <protection locked="0"/>
    </xf>
    <xf numFmtId="0" fontId="0" fillId="10" borderId="80" xfId="0" applyFill="1" applyBorder="1" applyAlignment="1" applyProtection="1">
      <alignment horizontal="center" vertical="center" wrapText="1"/>
      <protection locked="0"/>
    </xf>
    <xf numFmtId="0" fontId="0" fillId="10" borderId="24" xfId="0" applyFill="1" applyBorder="1" applyAlignment="1" applyProtection="1">
      <alignment horizontal="center" vertical="center" wrapText="1"/>
      <protection locked="0"/>
    </xf>
    <xf numFmtId="0" fontId="0" fillId="4" borderId="25" xfId="0" applyFill="1" applyBorder="1" applyAlignment="1" applyProtection="1">
      <alignment horizontal="left" vertical="top" wrapText="1"/>
      <protection locked="0"/>
    </xf>
    <xf numFmtId="0" fontId="0" fillId="4" borderId="15" xfId="0" applyFill="1" applyBorder="1" applyAlignment="1" applyProtection="1">
      <alignment horizontal="left" vertical="top" wrapText="1"/>
      <protection locked="0"/>
    </xf>
    <xf numFmtId="0" fontId="0" fillId="5" borderId="79" xfId="0" applyFill="1" applyBorder="1" applyAlignment="1" applyProtection="1">
      <alignment horizontal="left" vertical="top" wrapText="1"/>
      <protection locked="0"/>
    </xf>
    <xf numFmtId="0" fontId="0" fillId="5" borderId="25" xfId="0" applyFill="1" applyBorder="1" applyAlignment="1" applyProtection="1">
      <alignment horizontal="left" vertical="top" wrapText="1"/>
      <protection locked="0"/>
    </xf>
    <xf numFmtId="0" fontId="4" fillId="3" borderId="77" xfId="0" applyFont="1" applyFill="1" applyBorder="1" applyAlignment="1" applyProtection="1">
      <alignment horizontal="center" vertical="center"/>
    </xf>
    <xf numFmtId="0" fontId="4" fillId="3" borderId="78" xfId="0" applyFont="1" applyFill="1" applyBorder="1" applyAlignment="1" applyProtection="1">
      <alignment horizontal="center" vertical="center"/>
    </xf>
    <xf numFmtId="0" fontId="3" fillId="3" borderId="78" xfId="0" applyFont="1" applyFill="1" applyBorder="1" applyAlignment="1" applyProtection="1">
      <alignment horizontal="center" vertical="center"/>
    </xf>
    <xf numFmtId="0" fontId="3" fillId="3" borderId="73" xfId="0" applyFont="1" applyFill="1" applyBorder="1" applyAlignment="1" applyProtection="1">
      <alignment horizontal="center" vertical="center"/>
    </xf>
    <xf numFmtId="0" fontId="0" fillId="9" borderId="29" xfId="0" applyFill="1" applyBorder="1" applyAlignment="1" applyProtection="1">
      <alignment horizontal="center" vertical="center" wrapText="1"/>
      <protection locked="0"/>
    </xf>
    <xf numFmtId="0" fontId="0" fillId="10" borderId="23" xfId="0" applyFill="1" applyBorder="1" applyAlignment="1" applyProtection="1">
      <alignment horizontal="center" vertical="center" wrapText="1"/>
      <protection locked="0"/>
    </xf>
    <xf numFmtId="0" fontId="0" fillId="4" borderId="79" xfId="0" applyFill="1" applyBorder="1" applyAlignment="1" applyProtection="1">
      <alignment horizontal="left" vertical="top" wrapText="1"/>
      <protection locked="0"/>
    </xf>
    <xf numFmtId="0" fontId="0" fillId="5" borderId="22" xfId="0" applyFill="1" applyBorder="1" applyAlignment="1" applyProtection="1">
      <alignment horizontal="left" vertical="top" wrapText="1"/>
      <protection locked="0"/>
    </xf>
    <xf numFmtId="0" fontId="4" fillId="3" borderId="82" xfId="0" applyFont="1" applyFill="1" applyBorder="1" applyAlignment="1" applyProtection="1">
      <alignment horizontal="center" vertical="center"/>
    </xf>
    <xf numFmtId="0" fontId="4" fillId="3" borderId="20" xfId="0" applyFont="1" applyFill="1" applyBorder="1" applyAlignment="1" applyProtection="1">
      <alignment horizontal="center" vertical="center"/>
    </xf>
    <xf numFmtId="2" fontId="5" fillId="0" borderId="2" xfId="0" applyNumberFormat="1" applyFont="1" applyBorder="1" applyAlignment="1" applyProtection="1">
      <alignment horizontal="center" vertical="center"/>
    </xf>
    <xf numFmtId="2" fontId="5" fillId="0" borderId="31" xfId="0" applyNumberFormat="1" applyFont="1" applyBorder="1" applyAlignment="1" applyProtection="1">
      <alignment horizontal="center" vertical="center"/>
    </xf>
    <xf numFmtId="0" fontId="0" fillId="0" borderId="4" xfId="0" applyBorder="1" applyAlignment="1" applyProtection="1">
      <alignment horizontal="left" vertical="center"/>
    </xf>
    <xf numFmtId="0" fontId="0" fillId="0" borderId="32" xfId="0" applyBorder="1" applyAlignment="1" applyProtection="1">
      <alignment horizontal="left" vertical="center"/>
    </xf>
    <xf numFmtId="0" fontId="3" fillId="3" borderId="82" xfId="0" applyFont="1" applyFill="1" applyBorder="1" applyAlignment="1" applyProtection="1">
      <alignment horizontal="center" vertical="center"/>
    </xf>
    <xf numFmtId="0" fontId="3" fillId="3" borderId="0" xfId="0" applyFont="1" applyFill="1" applyBorder="1" applyAlignment="1" applyProtection="1">
      <alignment horizontal="center" vertical="center"/>
    </xf>
    <xf numFmtId="2" fontId="5" fillId="0" borderId="5" xfId="0" applyNumberFormat="1" applyFont="1" applyBorder="1" applyAlignment="1" applyProtection="1">
      <alignment horizontal="center" vertical="center"/>
    </xf>
    <xf numFmtId="0" fontId="0" fillId="0" borderId="30" xfId="0" applyBorder="1" applyAlignment="1" applyProtection="1">
      <alignment horizontal="left" vertical="center"/>
    </xf>
    <xf numFmtId="0" fontId="0" fillId="0" borderId="6" xfId="0" applyBorder="1" applyAlignment="1" applyProtection="1">
      <alignment horizontal="left" vertical="center"/>
    </xf>
    <xf numFmtId="0" fontId="3" fillId="3" borderId="77" xfId="0" applyFont="1" applyFill="1" applyBorder="1" applyAlignment="1" applyProtection="1">
      <alignment horizontal="center" vertical="center"/>
    </xf>
    <xf numFmtId="0" fontId="4" fillId="3" borderId="73" xfId="0" applyFont="1" applyFill="1" applyBorder="1" applyAlignment="1" applyProtection="1">
      <alignment horizontal="center" vertical="center"/>
    </xf>
    <xf numFmtId="9" fontId="5" fillId="0" borderId="69" xfId="0" applyNumberFormat="1" applyFont="1" applyBorder="1" applyAlignment="1" applyProtection="1">
      <alignment horizontal="center" vertical="center"/>
    </xf>
    <xf numFmtId="9" fontId="5" fillId="0" borderId="66" xfId="0" applyNumberFormat="1" applyFont="1" applyBorder="1" applyAlignment="1" applyProtection="1">
      <alignment horizontal="center" vertical="center"/>
    </xf>
    <xf numFmtId="0" fontId="0" fillId="0" borderId="70" xfId="0" applyBorder="1" applyAlignment="1" applyProtection="1">
      <alignment horizontal="left" vertical="center"/>
    </xf>
    <xf numFmtId="0" fontId="0" fillId="0" borderId="67" xfId="0" applyBorder="1" applyAlignment="1" applyProtection="1">
      <alignment horizontal="left" vertical="center"/>
    </xf>
    <xf numFmtId="0" fontId="0" fillId="0" borderId="30" xfId="0" applyBorder="1" applyAlignment="1" applyProtection="1">
      <alignment horizontal="left" vertical="center" wrapText="1"/>
    </xf>
    <xf numFmtId="0" fontId="0" fillId="0" borderId="70" xfId="0" applyBorder="1" applyAlignment="1" applyProtection="1">
      <alignment horizontal="left" vertical="center" wrapText="1"/>
    </xf>
    <xf numFmtId="0" fontId="0" fillId="0" borderId="67" xfId="0" applyBorder="1" applyAlignment="1" applyProtection="1">
      <alignment horizontal="left" vertical="center" wrapText="1"/>
    </xf>
    <xf numFmtId="0" fontId="3" fillId="3" borderId="59" xfId="0" applyFont="1" applyFill="1" applyBorder="1" applyAlignment="1" applyProtection="1">
      <alignment horizontal="center" vertical="center"/>
    </xf>
    <xf numFmtId="0" fontId="3" fillId="3" borderId="86" xfId="0" applyFont="1" applyFill="1" applyBorder="1" applyAlignment="1" applyProtection="1">
      <alignment horizontal="center" vertical="center"/>
    </xf>
    <xf numFmtId="0" fontId="3" fillId="3" borderId="85" xfId="0" applyFont="1" applyFill="1" applyBorder="1" applyAlignment="1" applyProtection="1">
      <alignment horizontal="center" vertical="center"/>
    </xf>
    <xf numFmtId="0" fontId="0" fillId="4" borderId="80" xfId="0" applyFill="1" applyBorder="1" applyAlignment="1" applyProtection="1">
      <alignment horizontal="left" vertical="top" wrapText="1"/>
      <protection locked="0"/>
    </xf>
    <xf numFmtId="0" fontId="0" fillId="4" borderId="24" xfId="0" applyFill="1" applyBorder="1" applyAlignment="1" applyProtection="1">
      <alignment horizontal="left" vertical="top" wrapText="1"/>
      <protection locked="0"/>
    </xf>
    <xf numFmtId="0" fontId="0" fillId="4" borderId="8" xfId="0" applyFill="1" applyBorder="1" applyAlignment="1" applyProtection="1">
      <alignment horizontal="left" vertical="top" wrapText="1"/>
      <protection locked="0"/>
    </xf>
    <xf numFmtId="2" fontId="5" fillId="0" borderId="60" xfId="0" applyNumberFormat="1" applyFont="1" applyBorder="1" applyAlignment="1" applyProtection="1">
      <alignment horizontal="center" vertical="center"/>
    </xf>
    <xf numFmtId="2" fontId="5" fillId="0" borderId="81" xfId="0" applyNumberFormat="1" applyFont="1" applyBorder="1" applyAlignment="1" applyProtection="1">
      <alignment horizontal="center" vertical="center"/>
    </xf>
    <xf numFmtId="2" fontId="5" fillId="0" borderId="84" xfId="0" applyNumberFormat="1" applyFont="1" applyBorder="1" applyAlignment="1" applyProtection="1">
      <alignment horizontal="center" vertical="center"/>
    </xf>
    <xf numFmtId="0" fontId="0" fillId="0" borderId="75" xfId="0" applyBorder="1" applyAlignment="1" applyProtection="1">
      <alignment horizontal="left" vertical="center"/>
    </xf>
    <xf numFmtId="0" fontId="0" fillId="0" borderId="76" xfId="0" applyBorder="1" applyAlignment="1" applyProtection="1">
      <alignment horizontal="left" vertical="center"/>
    </xf>
    <xf numFmtId="0" fontId="0" fillId="0" borderId="74" xfId="0" applyBorder="1" applyAlignment="1" applyProtection="1">
      <alignment horizontal="left" vertical="center"/>
    </xf>
    <xf numFmtId="0" fontId="2" fillId="3" borderId="70" xfId="0" applyFont="1" applyFill="1" applyBorder="1" applyAlignment="1" applyProtection="1">
      <alignment horizontal="center" vertical="center"/>
    </xf>
    <xf numFmtId="0" fontId="2" fillId="3" borderId="74" xfId="0" applyFont="1" applyFill="1" applyBorder="1" applyAlignment="1" applyProtection="1">
      <alignment horizontal="center" vertical="center"/>
    </xf>
    <xf numFmtId="0" fontId="4" fillId="3" borderId="80" xfId="0" applyFont="1" applyFill="1" applyBorder="1" applyAlignment="1" applyProtection="1">
      <alignment horizontal="center" vertical="center"/>
    </xf>
    <xf numFmtId="0" fontId="4" fillId="3" borderId="23" xfId="0" applyFont="1" applyFill="1" applyBorder="1" applyAlignment="1" applyProtection="1">
      <alignment horizontal="center" vertical="center"/>
    </xf>
    <xf numFmtId="0" fontId="0" fillId="5" borderId="80" xfId="0" applyFill="1" applyBorder="1" applyAlignment="1" applyProtection="1">
      <alignment horizontal="left" vertical="top" wrapText="1"/>
      <protection locked="0"/>
    </xf>
    <xf numFmtId="0" fontId="0" fillId="5" borderId="23" xfId="0" applyFill="1" applyBorder="1" applyAlignment="1" applyProtection="1">
      <alignment horizontal="left" vertical="top" wrapText="1"/>
      <protection locked="0"/>
    </xf>
    <xf numFmtId="0" fontId="5" fillId="0" borderId="69" xfId="0" applyNumberFormat="1" applyFont="1" applyBorder="1" applyAlignment="1" applyProtection="1">
      <alignment horizontal="center" vertical="center"/>
    </xf>
    <xf numFmtId="0" fontId="5" fillId="0" borderId="66" xfId="0" applyNumberFormat="1" applyFont="1" applyBorder="1" applyAlignment="1" applyProtection="1">
      <alignment horizontal="center" vertical="center"/>
    </xf>
    <xf numFmtId="0" fontId="0" fillId="0" borderId="71" xfId="0" applyBorder="1" applyAlignment="1" applyProtection="1">
      <alignment horizontal="left" vertical="center"/>
    </xf>
    <xf numFmtId="0" fontId="0" fillId="0" borderId="68" xfId="0" applyBorder="1" applyAlignment="1" applyProtection="1">
      <alignment horizontal="left" vertical="center"/>
    </xf>
    <xf numFmtId="0" fontId="4" fillId="3" borderId="59" xfId="0" applyFont="1" applyFill="1" applyBorder="1" applyAlignment="1" applyProtection="1">
      <alignment horizontal="center" vertical="center"/>
    </xf>
    <xf numFmtId="0" fontId="4" fillId="3" borderId="86" xfId="0" applyFont="1" applyFill="1" applyBorder="1" applyAlignment="1" applyProtection="1">
      <alignment horizontal="center" vertical="center"/>
    </xf>
    <xf numFmtId="0" fontId="4" fillId="3" borderId="85" xfId="0" applyFont="1" applyFill="1" applyBorder="1" applyAlignment="1" applyProtection="1">
      <alignment horizontal="center" vertical="center"/>
    </xf>
    <xf numFmtId="0" fontId="0" fillId="5" borderId="24" xfId="0" applyFill="1" applyBorder="1" applyAlignment="1" applyProtection="1">
      <alignment horizontal="left" vertical="top" wrapText="1"/>
      <protection locked="0"/>
    </xf>
    <xf numFmtId="9" fontId="5" fillId="0" borderId="60" xfId="0" applyNumberFormat="1" applyFont="1" applyBorder="1" applyAlignment="1" applyProtection="1">
      <alignment horizontal="center" vertical="center"/>
    </xf>
    <xf numFmtId="0" fontId="3" fillId="3" borderId="80" xfId="0" applyFont="1" applyFill="1" applyBorder="1" applyAlignment="1" applyProtection="1">
      <alignment horizontal="center" vertical="center"/>
    </xf>
    <xf numFmtId="0" fontId="3" fillId="3" borderId="24" xfId="0" applyFont="1" applyFill="1" applyBorder="1" applyAlignment="1" applyProtection="1">
      <alignment horizontal="center" vertical="center"/>
    </xf>
    <xf numFmtId="0" fontId="5" fillId="0" borderId="2" xfId="0" applyNumberFormat="1" applyFont="1" applyBorder="1" applyAlignment="1" applyProtection="1">
      <alignment horizontal="center" vertical="center"/>
    </xf>
    <xf numFmtId="0" fontId="5" fillId="0" borderId="31" xfId="0" applyNumberFormat="1" applyFont="1" applyBorder="1" applyAlignment="1" applyProtection="1">
      <alignment horizontal="center" vertical="center"/>
    </xf>
    <xf numFmtId="0" fontId="5" fillId="0" borderId="60" xfId="0" applyNumberFormat="1" applyFont="1" applyBorder="1" applyAlignment="1" applyProtection="1">
      <alignment horizontal="center" vertical="center"/>
    </xf>
    <xf numFmtId="0" fontId="5" fillId="0" borderId="81" xfId="0" applyNumberFormat="1" applyFont="1" applyBorder="1" applyAlignment="1" applyProtection="1">
      <alignment horizontal="center" vertical="center"/>
    </xf>
    <xf numFmtId="0" fontId="5" fillId="0" borderId="84" xfId="0" applyNumberFormat="1" applyFont="1" applyBorder="1" applyAlignment="1" applyProtection="1">
      <alignment horizontal="center" vertical="center"/>
    </xf>
    <xf numFmtId="0" fontId="0" fillId="5" borderId="80" xfId="0" applyFill="1" applyBorder="1" applyAlignment="1" applyProtection="1">
      <alignment horizontal="center" vertical="top" wrapText="1"/>
      <protection locked="0"/>
    </xf>
    <xf numFmtId="0" fontId="0" fillId="5" borderId="24" xfId="0" applyFill="1" applyBorder="1" applyAlignment="1" applyProtection="1">
      <alignment horizontal="center" vertical="top" wrapText="1"/>
      <protection locked="0"/>
    </xf>
    <xf numFmtId="0" fontId="0" fillId="5" borderId="23" xfId="0" applyFill="1" applyBorder="1" applyAlignment="1" applyProtection="1">
      <alignment horizontal="center" vertical="top" wrapText="1"/>
      <protection locked="0"/>
    </xf>
    <xf numFmtId="0" fontId="0" fillId="9" borderId="49" xfId="0" applyFill="1" applyBorder="1" applyAlignment="1" applyProtection="1">
      <alignment horizontal="center" vertical="center" wrapText="1"/>
      <protection locked="0"/>
    </xf>
    <xf numFmtId="0" fontId="0" fillId="9" borderId="0" xfId="0" applyFill="1" applyBorder="1" applyAlignment="1" applyProtection="1">
      <alignment horizontal="center" vertical="center" wrapText="1"/>
      <protection locked="0"/>
    </xf>
    <xf numFmtId="0" fontId="0" fillId="4" borderId="79" xfId="0" applyFill="1" applyBorder="1" applyAlignment="1" applyProtection="1">
      <alignment horizontal="center" vertical="top" wrapText="1"/>
      <protection locked="0"/>
    </xf>
    <xf numFmtId="0" fontId="0" fillId="4" borderId="25" xfId="0" applyFill="1" applyBorder="1" applyAlignment="1" applyProtection="1">
      <alignment horizontal="center" vertical="top" wrapText="1"/>
      <protection locked="0"/>
    </xf>
    <xf numFmtId="0" fontId="6" fillId="2" borderId="31" xfId="0" applyFont="1" applyFill="1" applyBorder="1" applyAlignment="1" applyProtection="1">
      <alignment horizontal="left" vertical="center" wrapText="1"/>
    </xf>
    <xf numFmtId="0" fontId="6" fillId="2" borderId="30" xfId="0" applyFont="1" applyFill="1" applyBorder="1" applyAlignment="1" applyProtection="1">
      <alignment horizontal="left" vertical="center" wrapText="1"/>
    </xf>
    <xf numFmtId="0" fontId="0" fillId="0" borderId="30" xfId="0" applyBorder="1" applyAlignment="1" applyProtection="1">
      <alignment horizontal="left" vertical="top" wrapText="1"/>
    </xf>
    <xf numFmtId="0" fontId="0" fillId="0" borderId="32" xfId="0" applyBorder="1" applyAlignment="1" applyProtection="1">
      <alignment horizontal="left" vertical="top" wrapText="1"/>
    </xf>
    <xf numFmtId="0" fontId="6" fillId="2" borderId="5" xfId="0" applyFont="1" applyFill="1" applyBorder="1" applyAlignment="1" applyProtection="1">
      <alignment horizontal="left" vertical="center" wrapText="1"/>
    </xf>
    <xf numFmtId="0" fontId="6" fillId="2" borderId="6" xfId="0" applyFont="1" applyFill="1" applyBorder="1" applyAlignment="1" applyProtection="1">
      <alignment horizontal="left" vertical="center" wrapText="1"/>
    </xf>
    <xf numFmtId="0" fontId="0" fillId="0" borderId="6" xfId="0" applyBorder="1" applyAlignment="1" applyProtection="1">
      <alignment horizontal="left" vertical="top" wrapText="1"/>
    </xf>
    <xf numFmtId="0" fontId="0" fillId="0" borderId="7" xfId="0" applyBorder="1" applyAlignment="1" applyProtection="1">
      <alignment horizontal="left" vertical="top" wrapText="1"/>
    </xf>
    <xf numFmtId="0" fontId="0" fillId="0" borderId="0" xfId="0" applyAlignment="1">
      <alignment horizontal="left" vertical="top" wrapText="1"/>
    </xf>
    <xf numFmtId="0" fontId="1" fillId="2" borderId="64" xfId="0" applyFont="1" applyFill="1" applyBorder="1" applyAlignment="1" applyProtection="1">
      <alignment horizontal="center"/>
    </xf>
    <xf numFmtId="0" fontId="1" fillId="2" borderId="65" xfId="0" applyFont="1" applyFill="1" applyBorder="1" applyAlignment="1" applyProtection="1">
      <alignment horizontal="center"/>
    </xf>
    <xf numFmtId="0" fontId="1" fillId="2" borderId="61" xfId="0" applyFont="1" applyFill="1" applyBorder="1" applyAlignment="1" applyProtection="1">
      <alignment horizontal="center"/>
    </xf>
    <xf numFmtId="0" fontId="6" fillId="2" borderId="66" xfId="0" applyFont="1" applyFill="1" applyBorder="1" applyAlignment="1" applyProtection="1">
      <alignment horizontal="left" vertical="center" wrapText="1"/>
    </xf>
    <xf numFmtId="0" fontId="6" fillId="2" borderId="67" xfId="0" applyFont="1" applyFill="1" applyBorder="1" applyAlignment="1" applyProtection="1">
      <alignment horizontal="left" vertical="center" wrapText="1"/>
    </xf>
    <xf numFmtId="0" fontId="0" fillId="0" borderId="67" xfId="0" applyBorder="1" applyAlignment="1" applyProtection="1">
      <alignment horizontal="left" vertical="top" wrapText="1"/>
    </xf>
    <xf numFmtId="0" fontId="0" fillId="0" borderId="68" xfId="0" applyBorder="1" applyAlignment="1" applyProtection="1">
      <alignment horizontal="left" vertical="top" wrapText="1"/>
    </xf>
    <xf numFmtId="0" fontId="1" fillId="3" borderId="64" xfId="0" applyFont="1" applyFill="1" applyBorder="1" applyAlignment="1" applyProtection="1">
      <alignment horizontal="center" vertical="center" wrapText="1"/>
    </xf>
    <xf numFmtId="0" fontId="1" fillId="3" borderId="65" xfId="0" applyFont="1" applyFill="1" applyBorder="1" applyAlignment="1" applyProtection="1">
      <alignment horizontal="center" vertical="center" wrapText="1"/>
    </xf>
    <xf numFmtId="0" fontId="1" fillId="3" borderId="61" xfId="0" applyFont="1" applyFill="1" applyBorder="1" applyAlignment="1" applyProtection="1">
      <alignment horizontal="center" vertical="center" wrapText="1"/>
    </xf>
    <xf numFmtId="0" fontId="11" fillId="3" borderId="56" xfId="0" applyFont="1" applyFill="1" applyBorder="1" applyAlignment="1" applyProtection="1">
      <alignment horizontal="center"/>
    </xf>
    <xf numFmtId="0" fontId="11" fillId="3" borderId="11" xfId="0" applyFont="1" applyFill="1" applyBorder="1" applyAlignment="1" applyProtection="1">
      <alignment horizontal="center"/>
    </xf>
    <xf numFmtId="0" fontId="11" fillId="3" borderId="14" xfId="0" applyFont="1" applyFill="1" applyBorder="1" applyAlignment="1" applyProtection="1">
      <alignment horizontal="center"/>
    </xf>
    <xf numFmtId="0" fontId="1" fillId="3" borderId="64" xfId="0" applyFont="1" applyFill="1" applyBorder="1" applyAlignment="1" applyProtection="1">
      <alignment horizontal="center" vertical="center"/>
    </xf>
    <xf numFmtId="0" fontId="1" fillId="3" borderId="65" xfId="0" applyFont="1" applyFill="1" applyBorder="1" applyAlignment="1" applyProtection="1">
      <alignment horizontal="center" vertical="center"/>
    </xf>
    <xf numFmtId="0" fontId="1" fillId="3" borderId="61" xfId="0" applyFont="1" applyFill="1" applyBorder="1" applyAlignment="1" applyProtection="1">
      <alignment horizontal="center" vertical="center"/>
    </xf>
    <xf numFmtId="0" fontId="0" fillId="0" borderId="66" xfId="0" applyBorder="1" applyAlignment="1" applyProtection="1">
      <alignment horizontal="left" vertical="center" wrapText="1"/>
    </xf>
    <xf numFmtId="0" fontId="0" fillId="0" borderId="68" xfId="0" applyBorder="1" applyAlignment="1" applyProtection="1">
      <alignment horizontal="left" vertical="center" wrapText="1"/>
    </xf>
    <xf numFmtId="0" fontId="0" fillId="0" borderId="31" xfId="0" applyBorder="1" applyAlignment="1" applyProtection="1">
      <alignment horizontal="left" vertical="center" wrapText="1"/>
    </xf>
    <xf numFmtId="0" fontId="0" fillId="0" borderId="32" xfId="0" applyBorder="1" applyAlignment="1" applyProtection="1">
      <alignment horizontal="left" vertical="center" wrapText="1"/>
    </xf>
    <xf numFmtId="0" fontId="0" fillId="0" borderId="31" xfId="0" applyBorder="1" applyAlignment="1" applyProtection="1">
      <alignment horizontal="left" vertical="center"/>
    </xf>
    <xf numFmtId="0" fontId="0" fillId="0" borderId="31" xfId="0" applyBorder="1" applyAlignment="1" applyProtection="1">
      <alignment horizontal="left" vertical="top" wrapText="1"/>
    </xf>
    <xf numFmtId="0" fontId="0" fillId="0" borderId="5" xfId="0" applyBorder="1" applyAlignment="1" applyProtection="1">
      <alignment horizontal="left" vertical="top" wrapText="1"/>
    </xf>
    <xf numFmtId="0" fontId="13" fillId="0" borderId="30" xfId="1" applyFill="1" applyBorder="1" applyAlignment="1" applyProtection="1">
      <alignment horizontal="left" vertical="center"/>
      <protection locked="0"/>
    </xf>
  </cellXfs>
  <cellStyles count="2">
    <cellStyle name="Hyperlink" xfId="1" builtinId="8"/>
    <cellStyle name="Normal" xfId="0" builtinId="0"/>
  </cellStyles>
  <dxfs count="0"/>
  <tableStyles count="0" defaultTableStyle="TableStyleMedium2" defaultPivotStyle="PivotStyleLight16"/>
  <colors>
    <mruColors>
      <color rgb="FF9E5E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mailto:ke.liu@digipen.edu" TargetMode="External"/><Relationship Id="rId2" Type="http://schemas.openxmlformats.org/officeDocument/2006/relationships/hyperlink" Target="mailto:yanweibryan.koh@digipen.edu" TargetMode="External"/><Relationship Id="rId1" Type="http://schemas.openxmlformats.org/officeDocument/2006/relationships/hyperlink" Target="mailto:l.jiakeat@digipen.edu" TargetMode="Externa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S55"/>
  <sheetViews>
    <sheetView tabSelected="1" workbookViewId="0">
      <selection activeCell="I12" sqref="I12"/>
    </sheetView>
  </sheetViews>
  <sheetFormatPr defaultRowHeight="14.4" x14ac:dyDescent="0.3"/>
  <cols>
    <col min="1" max="1" width="0.5546875" customWidth="1"/>
    <col min="3" max="3" width="27.21875" customWidth="1"/>
    <col min="5" max="5" width="23.44140625" customWidth="1"/>
    <col min="9" max="9" width="24.77734375" customWidth="1"/>
    <col min="12" max="12" width="4.77734375" customWidth="1"/>
  </cols>
  <sheetData>
    <row r="1" spans="1:19" ht="3.75" customHeight="1" thickBot="1" x14ac:dyDescent="0.35">
      <c r="A1" s="1"/>
      <c r="B1" s="1"/>
      <c r="C1" s="1"/>
      <c r="D1" s="1"/>
      <c r="E1" s="1"/>
      <c r="F1" s="1"/>
      <c r="G1" s="1"/>
      <c r="H1" s="1"/>
      <c r="I1" s="1"/>
      <c r="J1" s="1"/>
      <c r="K1" s="1"/>
      <c r="L1" s="1"/>
      <c r="M1" s="1"/>
      <c r="N1" s="1"/>
      <c r="O1" s="1"/>
      <c r="P1" s="1"/>
      <c r="Q1" s="1"/>
      <c r="R1" s="1"/>
      <c r="S1" s="1"/>
    </row>
    <row r="2" spans="1:19" ht="15.75" customHeight="1" x14ac:dyDescent="0.3">
      <c r="A2" s="1"/>
      <c r="B2" s="173" t="s">
        <v>130</v>
      </c>
      <c r="C2" s="174"/>
      <c r="D2" s="174"/>
      <c r="E2" s="174"/>
      <c r="F2" s="174"/>
      <c r="G2" s="174"/>
      <c r="H2" s="174"/>
      <c r="I2" s="174"/>
      <c r="J2" s="174"/>
      <c r="K2" s="174"/>
      <c r="L2" s="174"/>
      <c r="M2" s="174"/>
      <c r="N2" s="174"/>
      <c r="O2" s="174"/>
      <c r="P2" s="174"/>
      <c r="Q2" s="174"/>
      <c r="R2" s="174"/>
      <c r="S2" s="175"/>
    </row>
    <row r="3" spans="1:19" ht="15.75" customHeight="1" thickBot="1" x14ac:dyDescent="0.35">
      <c r="A3" s="1"/>
      <c r="B3" s="176"/>
      <c r="C3" s="177"/>
      <c r="D3" s="177"/>
      <c r="E3" s="177"/>
      <c r="F3" s="177"/>
      <c r="G3" s="177"/>
      <c r="H3" s="177"/>
      <c r="I3" s="177"/>
      <c r="J3" s="177"/>
      <c r="K3" s="177"/>
      <c r="L3" s="177"/>
      <c r="M3" s="177"/>
      <c r="N3" s="177"/>
      <c r="O3" s="177"/>
      <c r="P3" s="177"/>
      <c r="Q3" s="177"/>
      <c r="R3" s="177"/>
      <c r="S3" s="178"/>
    </row>
    <row r="4" spans="1:19" ht="15" thickBot="1" x14ac:dyDescent="0.35">
      <c r="A4" s="1"/>
      <c r="B4" s="1"/>
      <c r="C4" s="1"/>
      <c r="D4" s="1"/>
      <c r="E4" s="1"/>
      <c r="F4" s="1"/>
      <c r="G4" s="1"/>
      <c r="H4" s="1"/>
      <c r="I4" s="1"/>
      <c r="J4" s="1"/>
      <c r="K4" s="1"/>
      <c r="L4" s="1"/>
      <c r="M4" s="1"/>
      <c r="N4" s="1"/>
      <c r="O4" s="1"/>
      <c r="P4" s="1"/>
      <c r="Q4" s="1"/>
      <c r="R4" s="1"/>
      <c r="S4" s="1"/>
    </row>
    <row r="5" spans="1:19" ht="15" thickBot="1" x14ac:dyDescent="0.35">
      <c r="A5" s="1"/>
      <c r="B5" s="182" t="s">
        <v>131</v>
      </c>
      <c r="C5" s="133"/>
      <c r="D5" s="133"/>
      <c r="E5" s="134"/>
      <c r="F5" s="2"/>
      <c r="G5" s="132" t="s">
        <v>5</v>
      </c>
      <c r="H5" s="133"/>
      <c r="I5" s="133"/>
      <c r="J5" s="133"/>
      <c r="K5" s="134"/>
      <c r="L5" s="1"/>
      <c r="M5" s="132" t="s">
        <v>6</v>
      </c>
      <c r="N5" s="133"/>
      <c r="O5" s="133"/>
      <c r="P5" s="133"/>
      <c r="Q5" s="134"/>
      <c r="R5" s="1"/>
      <c r="S5" s="1"/>
    </row>
    <row r="6" spans="1:19" x14ac:dyDescent="0.3">
      <c r="A6" s="1"/>
      <c r="B6" s="183" t="s">
        <v>143</v>
      </c>
      <c r="C6" s="184"/>
      <c r="D6" s="184"/>
      <c r="E6" s="185"/>
      <c r="F6" s="2"/>
      <c r="G6" s="183" t="s">
        <v>143</v>
      </c>
      <c r="H6" s="184"/>
      <c r="I6" s="184"/>
      <c r="J6" s="184"/>
      <c r="K6" s="185"/>
      <c r="L6" s="1"/>
      <c r="M6" s="183" t="s">
        <v>144</v>
      </c>
      <c r="N6" s="184"/>
      <c r="O6" s="184"/>
      <c r="P6" s="184"/>
      <c r="Q6" s="185"/>
      <c r="R6" s="1"/>
      <c r="S6" s="1"/>
    </row>
    <row r="7" spans="1:19" ht="15" thickBot="1" x14ac:dyDescent="0.35">
      <c r="A7" s="1"/>
      <c r="B7" s="186"/>
      <c r="C7" s="187"/>
      <c r="D7" s="187"/>
      <c r="E7" s="188"/>
      <c r="F7" s="2"/>
      <c r="G7" s="186"/>
      <c r="H7" s="187"/>
      <c r="I7" s="187"/>
      <c r="J7" s="187"/>
      <c r="K7" s="188"/>
      <c r="L7" s="1"/>
      <c r="M7" s="186"/>
      <c r="N7" s="187"/>
      <c r="O7" s="187"/>
      <c r="P7" s="187"/>
      <c r="Q7" s="188"/>
      <c r="R7" s="1"/>
      <c r="S7" s="1"/>
    </row>
    <row r="8" spans="1:19" x14ac:dyDescent="0.3">
      <c r="A8" s="1"/>
      <c r="B8" s="1"/>
      <c r="C8" s="1"/>
      <c r="D8" s="1"/>
      <c r="E8" s="1"/>
      <c r="F8" s="1"/>
      <c r="G8" s="1"/>
      <c r="H8" s="1"/>
      <c r="I8" s="1"/>
      <c r="J8" s="1"/>
      <c r="K8" s="1"/>
      <c r="L8" s="1"/>
      <c r="M8" s="1"/>
      <c r="N8" s="1"/>
      <c r="O8" s="1"/>
      <c r="P8" s="1"/>
      <c r="Q8" s="1"/>
      <c r="R8" s="1"/>
      <c r="S8" s="1"/>
    </row>
    <row r="9" spans="1:19" ht="15" thickBot="1" x14ac:dyDescent="0.35">
      <c r="A9" s="1"/>
      <c r="B9" s="1"/>
      <c r="C9" s="1"/>
      <c r="D9" s="1"/>
      <c r="E9" s="1"/>
      <c r="F9" s="1"/>
      <c r="G9" s="1"/>
      <c r="H9" s="1"/>
      <c r="I9" s="1"/>
      <c r="J9" s="1"/>
      <c r="K9" s="1"/>
      <c r="L9" s="1"/>
      <c r="M9" s="1"/>
      <c r="N9" s="1"/>
      <c r="O9" s="1"/>
      <c r="P9" s="1"/>
      <c r="Q9" s="1"/>
      <c r="R9" s="1"/>
      <c r="S9" s="1"/>
    </row>
    <row r="10" spans="1:19" ht="15.75" customHeight="1" thickBot="1" x14ac:dyDescent="0.35">
      <c r="A10" s="1"/>
      <c r="B10" s="95" t="s">
        <v>7</v>
      </c>
      <c r="C10" s="96"/>
      <c r="D10" s="96"/>
      <c r="E10" s="96"/>
      <c r="F10" s="96"/>
      <c r="G10" s="96"/>
      <c r="H10" s="96"/>
      <c r="I10" s="96"/>
      <c r="J10" s="96"/>
      <c r="K10" s="97"/>
      <c r="L10" s="1"/>
      <c r="M10" s="1"/>
      <c r="N10" s="1"/>
      <c r="O10" s="1"/>
      <c r="P10" s="1"/>
      <c r="Q10" s="1"/>
      <c r="R10" s="1"/>
      <c r="S10" s="1"/>
    </row>
    <row r="11" spans="1:19" ht="15" thickBot="1" x14ac:dyDescent="0.35">
      <c r="A11" s="1"/>
      <c r="B11" s="69" t="s">
        <v>8</v>
      </c>
      <c r="C11" s="3" t="s">
        <v>9</v>
      </c>
      <c r="D11" s="146" t="s">
        <v>10</v>
      </c>
      <c r="E11" s="145"/>
      <c r="F11" s="146" t="s">
        <v>11</v>
      </c>
      <c r="G11" s="145"/>
      <c r="H11" s="145"/>
      <c r="I11" s="3"/>
      <c r="J11" s="146" t="s">
        <v>12</v>
      </c>
      <c r="K11" s="147"/>
      <c r="L11" s="1"/>
      <c r="M11" s="1"/>
      <c r="N11" s="132" t="s">
        <v>13</v>
      </c>
      <c r="O11" s="133"/>
      <c r="P11" s="133"/>
      <c r="Q11" s="133"/>
      <c r="R11" s="134"/>
      <c r="S11" s="1"/>
    </row>
    <row r="12" spans="1:19" ht="15" thickBot="1" x14ac:dyDescent="0.35">
      <c r="A12" s="1"/>
      <c r="B12" s="62" t="s">
        <v>134</v>
      </c>
      <c r="C12" s="63" t="s">
        <v>136</v>
      </c>
      <c r="D12" s="309" t="s">
        <v>140</v>
      </c>
      <c r="E12" s="160"/>
      <c r="F12" s="158">
        <v>0</v>
      </c>
      <c r="G12" s="158"/>
      <c r="H12" s="158"/>
      <c r="I12" s="72"/>
      <c r="J12" s="148" t="str" cm="1">
        <f t="array" ref="J12">GetGrade($N$12, F12)</f>
        <v>F</v>
      </c>
      <c r="K12" s="149"/>
      <c r="L12" s="1"/>
      <c r="M12" s="1"/>
      <c r="N12" s="150" t="str" cm="1">
        <f t="array" ref="N12">ConsolidateGrade(P14,P15,P16,P17, SUM(P18,P19,P20,P21))</f>
        <v>F</v>
      </c>
      <c r="O12" s="151"/>
      <c r="P12" s="151"/>
      <c r="Q12" s="151"/>
      <c r="R12" s="152"/>
      <c r="S12" s="1"/>
    </row>
    <row r="13" spans="1:19" ht="15" thickBot="1" x14ac:dyDescent="0.35">
      <c r="A13" s="1"/>
      <c r="B13" s="62" t="s">
        <v>134</v>
      </c>
      <c r="C13" s="63" t="s">
        <v>137</v>
      </c>
      <c r="D13" s="309" t="s">
        <v>141</v>
      </c>
      <c r="E13" s="160"/>
      <c r="F13" s="158">
        <v>0</v>
      </c>
      <c r="G13" s="158"/>
      <c r="H13" s="158"/>
      <c r="I13" s="72"/>
      <c r="J13" s="148" t="str" cm="1">
        <f t="array" ref="J13">GetGrade($N$12, F13)</f>
        <v>F</v>
      </c>
      <c r="K13" s="149"/>
      <c r="L13" s="1"/>
      <c r="M13" s="1"/>
      <c r="N13" s="153"/>
      <c r="O13" s="154"/>
      <c r="P13" s="154"/>
      <c r="Q13" s="154"/>
      <c r="R13" s="155"/>
      <c r="S13" s="1"/>
    </row>
    <row r="14" spans="1:19" ht="15.75" customHeight="1" thickBot="1" x14ac:dyDescent="0.35">
      <c r="A14" s="1"/>
      <c r="B14" s="62" t="s">
        <v>135</v>
      </c>
      <c r="C14" s="63" t="s">
        <v>138</v>
      </c>
      <c r="D14" s="309" t="s">
        <v>142</v>
      </c>
      <c r="E14" s="160"/>
      <c r="F14" s="158">
        <v>0</v>
      </c>
      <c r="G14" s="158"/>
      <c r="H14" s="158"/>
      <c r="I14" s="72"/>
      <c r="J14" s="148" t="str" cm="1">
        <f t="array" ref="J14">GetGrade($N$12, F14)</f>
        <v>F</v>
      </c>
      <c r="K14" s="149"/>
      <c r="L14" s="1"/>
      <c r="M14" s="1"/>
      <c r="N14" s="141" t="s">
        <v>34</v>
      </c>
      <c r="O14" s="96"/>
      <c r="P14" s="156" t="str">
        <f>Rubric!E3</f>
        <v>F</v>
      </c>
      <c r="Q14" s="156"/>
      <c r="R14" s="157"/>
      <c r="S14" s="1"/>
    </row>
    <row r="15" spans="1:19" ht="15" thickBot="1" x14ac:dyDescent="0.35">
      <c r="A15" s="1"/>
      <c r="B15" s="62" t="s">
        <v>135</v>
      </c>
      <c r="C15" s="63" t="s">
        <v>139</v>
      </c>
      <c r="D15" s="160"/>
      <c r="E15" s="160"/>
      <c r="F15" s="158">
        <v>0</v>
      </c>
      <c r="G15" s="158"/>
      <c r="H15" s="158"/>
      <c r="I15" s="72"/>
      <c r="J15" s="148" t="str" cm="1">
        <f t="array" ref="J15">GetGrade($N$12, F15)</f>
        <v>F</v>
      </c>
      <c r="K15" s="149"/>
      <c r="L15" s="1"/>
      <c r="M15" s="1"/>
      <c r="N15" s="144" t="s">
        <v>104</v>
      </c>
      <c r="O15" s="145"/>
      <c r="P15" s="161" t="str">
        <f>Rubric!E36</f>
        <v>F</v>
      </c>
      <c r="Q15" s="161"/>
      <c r="R15" s="162"/>
      <c r="S15" s="1"/>
    </row>
    <row r="16" spans="1:19" ht="15" thickBot="1" x14ac:dyDescent="0.35">
      <c r="A16" s="1"/>
      <c r="B16" s="64"/>
      <c r="C16" s="65"/>
      <c r="D16" s="189"/>
      <c r="E16" s="189"/>
      <c r="F16" s="159">
        <v>0</v>
      </c>
      <c r="G16" s="159"/>
      <c r="H16" s="159"/>
      <c r="I16" s="73"/>
      <c r="J16" s="148" t="str" cm="1">
        <f t="array" ref="J16">GetGrade($N$12, F16)</f>
        <v>F</v>
      </c>
      <c r="K16" s="149"/>
      <c r="L16" s="1"/>
      <c r="M16" s="1"/>
      <c r="N16" s="144" t="s">
        <v>50</v>
      </c>
      <c r="O16" s="145"/>
      <c r="P16" s="161" t="str">
        <f>Rubric!E70</f>
        <v>F</v>
      </c>
      <c r="Q16" s="161"/>
      <c r="R16" s="162"/>
      <c r="S16" s="1"/>
    </row>
    <row r="17" spans="1:19" ht="15" thickBot="1" x14ac:dyDescent="0.35">
      <c r="A17" s="1"/>
      <c r="B17" s="1"/>
      <c r="C17" s="1"/>
      <c r="D17" s="1"/>
      <c r="E17" s="1"/>
      <c r="F17" s="1"/>
      <c r="G17" s="1"/>
      <c r="H17" s="1"/>
      <c r="I17" s="1"/>
      <c r="J17" s="1"/>
      <c r="K17" s="1"/>
      <c r="L17" s="1"/>
      <c r="M17" s="1"/>
      <c r="N17" s="125" t="s">
        <v>61</v>
      </c>
      <c r="O17" s="126"/>
      <c r="P17" s="163" t="str">
        <f>Rubric!E98</f>
        <v>F</v>
      </c>
      <c r="Q17" s="163"/>
      <c r="R17" s="164"/>
      <c r="S17" s="1"/>
    </row>
    <row r="18" spans="1:19" ht="15.75" customHeight="1" thickBot="1" x14ac:dyDescent="0.35">
      <c r="A18" s="1"/>
      <c r="B18" s="119"/>
      <c r="C18" s="120"/>
      <c r="D18" s="120"/>
      <c r="E18" s="165"/>
      <c r="J18" s="1"/>
      <c r="K18" s="1"/>
      <c r="L18" s="1"/>
      <c r="M18" s="1"/>
      <c r="N18" s="98" t="s">
        <v>70</v>
      </c>
      <c r="O18" s="129"/>
      <c r="P18" s="130">
        <f>Rubric!E133</f>
        <v>0</v>
      </c>
      <c r="Q18" s="130"/>
      <c r="R18" s="131"/>
      <c r="S18" s="1"/>
    </row>
    <row r="19" spans="1:19" ht="15" thickBot="1" x14ac:dyDescent="0.35">
      <c r="A19" s="1"/>
      <c r="B19" s="121"/>
      <c r="C19" s="122"/>
      <c r="D19" s="122"/>
      <c r="E19" s="166"/>
      <c r="J19" s="1"/>
      <c r="K19" s="1"/>
      <c r="L19" s="1"/>
      <c r="M19" s="1"/>
      <c r="N19" s="98" t="s">
        <v>76</v>
      </c>
      <c r="O19" s="129"/>
      <c r="P19" s="130">
        <f>Rubric!E145</f>
        <v>0</v>
      </c>
      <c r="Q19" s="130"/>
      <c r="R19" s="131"/>
      <c r="S19" s="1"/>
    </row>
    <row r="20" spans="1:19" ht="15" thickBot="1" x14ac:dyDescent="0.35">
      <c r="A20" s="1"/>
      <c r="J20" s="1"/>
      <c r="K20" s="1"/>
      <c r="L20" s="1"/>
      <c r="M20" s="1"/>
      <c r="N20" s="98" t="s">
        <v>85</v>
      </c>
      <c r="O20" s="99"/>
      <c r="P20" s="130">
        <f>(E18*-1)</f>
        <v>0</v>
      </c>
      <c r="Q20" s="130"/>
      <c r="R20" s="131"/>
      <c r="S20" s="1"/>
    </row>
    <row r="21" spans="1:19" ht="15" thickBot="1" x14ac:dyDescent="0.35">
      <c r="A21" s="1"/>
      <c r="J21" s="1"/>
      <c r="K21" s="1"/>
      <c r="L21" s="1"/>
      <c r="M21" s="1"/>
      <c r="N21" s="98" t="s">
        <v>81</v>
      </c>
      <c r="O21" s="129"/>
      <c r="P21" s="130">
        <f>I29</f>
        <v>0</v>
      </c>
      <c r="Q21" s="130"/>
      <c r="R21" s="131"/>
      <c r="S21" s="1"/>
    </row>
    <row r="22" spans="1:19" ht="15" thickBot="1" x14ac:dyDescent="0.35">
      <c r="A22" s="1"/>
      <c r="B22" s="114" t="s">
        <v>79</v>
      </c>
      <c r="C22" s="115"/>
      <c r="D22" s="115"/>
      <c r="E22" s="115"/>
      <c r="F22" s="115"/>
      <c r="G22" s="115"/>
      <c r="H22" s="115"/>
      <c r="I22" s="116"/>
      <c r="J22" s="1"/>
      <c r="K22" s="1"/>
      <c r="L22" s="1"/>
      <c r="M22" s="1"/>
      <c r="N22" s="1"/>
      <c r="O22" s="1"/>
      <c r="P22" s="1"/>
      <c r="Q22" s="1"/>
      <c r="R22" s="1"/>
      <c r="S22" s="1"/>
    </row>
    <row r="23" spans="1:19" ht="15" thickBot="1" x14ac:dyDescent="0.35">
      <c r="A23" s="1"/>
      <c r="B23" s="70"/>
      <c r="C23" s="86" t="s">
        <v>15</v>
      </c>
      <c r="D23" s="87"/>
      <c r="E23" s="87"/>
      <c r="F23" s="87"/>
      <c r="G23" s="87"/>
      <c r="H23" s="88"/>
      <c r="I23" s="71" t="s">
        <v>1</v>
      </c>
      <c r="J23" s="1"/>
      <c r="K23" s="1"/>
      <c r="L23" s="1"/>
      <c r="M23" s="1"/>
      <c r="N23" s="132" t="s">
        <v>14</v>
      </c>
      <c r="O23" s="133"/>
      <c r="P23" s="133"/>
      <c r="Q23" s="133"/>
      <c r="R23" s="134"/>
      <c r="S23" s="1"/>
    </row>
    <row r="24" spans="1:19" x14ac:dyDescent="0.3">
      <c r="A24" s="1"/>
      <c r="B24" s="89"/>
      <c r="C24" s="90"/>
      <c r="D24" s="90"/>
      <c r="E24" s="90"/>
      <c r="F24" s="90"/>
      <c r="G24" s="90"/>
      <c r="H24" s="91"/>
      <c r="I24" s="66">
        <v>0</v>
      </c>
      <c r="J24" s="1"/>
      <c r="K24" s="1"/>
      <c r="L24" s="1"/>
      <c r="M24" s="1"/>
      <c r="N24" s="135" t="str" cm="1">
        <f t="array" ref="N24">ConsolidateGrade(P26,P27,P28,P29, SUM(P30,P31,P32,P33))</f>
        <v>F</v>
      </c>
      <c r="O24" s="136"/>
      <c r="P24" s="136"/>
      <c r="Q24" s="136"/>
      <c r="R24" s="137"/>
      <c r="S24" s="1"/>
    </row>
    <row r="25" spans="1:19" ht="15.75" customHeight="1" thickBot="1" x14ac:dyDescent="0.35">
      <c r="A25" s="1"/>
      <c r="B25" s="92"/>
      <c r="C25" s="93"/>
      <c r="D25" s="93"/>
      <c r="E25" s="93"/>
      <c r="F25" s="93"/>
      <c r="G25" s="93"/>
      <c r="H25" s="94"/>
      <c r="I25" s="67">
        <v>0</v>
      </c>
      <c r="J25" s="1"/>
      <c r="K25" s="1"/>
      <c r="L25" s="1"/>
      <c r="M25" s="1"/>
      <c r="N25" s="138"/>
      <c r="O25" s="139"/>
      <c r="P25" s="139"/>
      <c r="Q25" s="139"/>
      <c r="R25" s="140"/>
      <c r="S25" s="1"/>
    </row>
    <row r="26" spans="1:19" ht="15" thickBot="1" x14ac:dyDescent="0.35">
      <c r="A26" s="1"/>
      <c r="B26" s="92"/>
      <c r="C26" s="93"/>
      <c r="D26" s="93"/>
      <c r="E26" s="93"/>
      <c r="F26" s="93"/>
      <c r="G26" s="93"/>
      <c r="H26" s="94"/>
      <c r="I26" s="67">
        <v>0</v>
      </c>
      <c r="J26" s="1"/>
      <c r="K26" s="1"/>
      <c r="L26" s="1"/>
      <c r="M26" s="1"/>
      <c r="N26" s="141" t="s">
        <v>34</v>
      </c>
      <c r="O26" s="96"/>
      <c r="P26" s="142" t="str">
        <f>Rubric!D3</f>
        <v>F</v>
      </c>
      <c r="Q26" s="142"/>
      <c r="R26" s="143"/>
      <c r="S26" s="1"/>
    </row>
    <row r="27" spans="1:19" ht="15.75" customHeight="1" thickBot="1" x14ac:dyDescent="0.35">
      <c r="A27" s="1"/>
      <c r="B27" s="92"/>
      <c r="C27" s="93"/>
      <c r="D27" s="93"/>
      <c r="E27" s="93"/>
      <c r="F27" s="93"/>
      <c r="G27" s="93"/>
      <c r="H27" s="94"/>
      <c r="I27" s="67">
        <v>0</v>
      </c>
      <c r="J27" s="1"/>
      <c r="K27" s="1"/>
      <c r="L27" s="1"/>
      <c r="M27" s="1"/>
      <c r="N27" s="144" t="s">
        <v>104</v>
      </c>
      <c r="O27" s="145"/>
      <c r="P27" s="123" t="str">
        <f>Rubric!D36</f>
        <v>F</v>
      </c>
      <c r="Q27" s="123"/>
      <c r="R27" s="124"/>
      <c r="S27" s="1"/>
    </row>
    <row r="28" spans="1:19" ht="15.75" customHeight="1" thickBot="1" x14ac:dyDescent="0.35">
      <c r="A28" s="1"/>
      <c r="B28" s="83"/>
      <c r="C28" s="84"/>
      <c r="D28" s="84"/>
      <c r="E28" s="84"/>
      <c r="F28" s="84"/>
      <c r="G28" s="84"/>
      <c r="H28" s="85"/>
      <c r="I28" s="68">
        <v>0</v>
      </c>
      <c r="J28" s="1"/>
      <c r="K28" s="1"/>
      <c r="L28" s="1"/>
      <c r="M28" s="1"/>
      <c r="N28" s="144" t="s">
        <v>50</v>
      </c>
      <c r="O28" s="145"/>
      <c r="P28" s="123" t="str">
        <f>Rubric!D70</f>
        <v>F</v>
      </c>
      <c r="Q28" s="123"/>
      <c r="R28" s="124"/>
      <c r="S28" s="1"/>
    </row>
    <row r="29" spans="1:19" ht="15.75" customHeight="1" thickBot="1" x14ac:dyDescent="0.35">
      <c r="A29" s="1"/>
      <c r="B29" s="111" t="s">
        <v>4</v>
      </c>
      <c r="C29" s="112"/>
      <c r="D29" s="112"/>
      <c r="E29" s="112"/>
      <c r="F29" s="112"/>
      <c r="G29" s="112"/>
      <c r="H29" s="113"/>
      <c r="I29" s="10">
        <f>SUM(I24:I28)</f>
        <v>0</v>
      </c>
      <c r="J29" s="1"/>
      <c r="K29" s="1"/>
      <c r="L29" s="1"/>
      <c r="M29" s="1"/>
      <c r="N29" s="125" t="s">
        <v>61</v>
      </c>
      <c r="O29" s="126"/>
      <c r="P29" s="127" t="str">
        <f>Rubric!D98</f>
        <v>F</v>
      </c>
      <c r="Q29" s="127"/>
      <c r="R29" s="128"/>
      <c r="S29" s="1"/>
    </row>
    <row r="30" spans="1:19" ht="15.75" customHeight="1" thickBot="1" x14ac:dyDescent="0.35">
      <c r="A30" s="1"/>
      <c r="J30" s="1"/>
      <c r="K30" s="1"/>
      <c r="L30" s="1"/>
      <c r="M30" s="1"/>
      <c r="N30" s="98" t="s">
        <v>70</v>
      </c>
      <c r="O30" s="129"/>
      <c r="P30" s="190">
        <f>Rubric!D133</f>
        <v>0</v>
      </c>
      <c r="Q30" s="190"/>
      <c r="R30" s="191"/>
      <c r="S30" s="1"/>
    </row>
    <row r="31" spans="1:19" ht="15.75" customHeight="1" thickBot="1" x14ac:dyDescent="0.35">
      <c r="A31" s="1"/>
      <c r="J31" s="1"/>
      <c r="K31" s="1"/>
      <c r="L31" s="1"/>
      <c r="M31" s="1"/>
      <c r="N31" s="98" t="s">
        <v>76</v>
      </c>
      <c r="O31" s="129"/>
      <c r="P31" s="190">
        <f>Rubric!D145</f>
        <v>0</v>
      </c>
      <c r="Q31" s="190"/>
      <c r="R31" s="191"/>
      <c r="S31" s="1"/>
    </row>
    <row r="32" spans="1:19" ht="15" thickBot="1" x14ac:dyDescent="0.35">
      <c r="A32" s="1"/>
      <c r="B32" s="117" t="s">
        <v>80</v>
      </c>
      <c r="C32" s="118"/>
      <c r="D32" s="118"/>
      <c r="E32" s="118"/>
      <c r="F32" s="118"/>
      <c r="G32" s="118"/>
      <c r="H32" s="118"/>
      <c r="I32" s="118"/>
      <c r="J32" s="1"/>
      <c r="K32" s="1"/>
      <c r="L32" s="1"/>
      <c r="M32" s="1"/>
      <c r="N32" s="98" t="s">
        <v>85</v>
      </c>
      <c r="O32" s="129"/>
      <c r="P32" s="190">
        <f>(E18*-1)</f>
        <v>0</v>
      </c>
      <c r="Q32" s="190"/>
      <c r="R32" s="191"/>
      <c r="S32" s="1"/>
    </row>
    <row r="33" spans="1:19" ht="15" thickBot="1" x14ac:dyDescent="0.35">
      <c r="A33" s="1"/>
      <c r="B33" s="5"/>
      <c r="C33" s="6" t="s">
        <v>15</v>
      </c>
      <c r="D33" s="7"/>
      <c r="E33" s="7"/>
      <c r="F33" s="7"/>
      <c r="G33" s="7"/>
      <c r="H33" s="8"/>
      <c r="I33" s="9" t="s">
        <v>1</v>
      </c>
      <c r="J33" s="1"/>
      <c r="K33" s="1"/>
      <c r="L33" s="1"/>
      <c r="M33" s="1"/>
      <c r="N33" s="98" t="s">
        <v>81</v>
      </c>
      <c r="O33" s="99"/>
      <c r="P33" s="190">
        <f>I39</f>
        <v>0</v>
      </c>
      <c r="Q33" s="190"/>
      <c r="R33" s="191"/>
      <c r="S33" s="1"/>
    </row>
    <row r="34" spans="1:19" x14ac:dyDescent="0.3">
      <c r="A34" s="1"/>
      <c r="B34" s="89"/>
      <c r="C34" s="90"/>
      <c r="D34" s="90"/>
      <c r="E34" s="90"/>
      <c r="F34" s="90"/>
      <c r="G34" s="90"/>
      <c r="H34" s="91"/>
      <c r="I34" s="66">
        <v>0</v>
      </c>
      <c r="J34" s="1"/>
      <c r="K34" s="1"/>
      <c r="L34" s="1"/>
      <c r="M34" s="1"/>
      <c r="N34" s="1"/>
      <c r="O34" s="1"/>
      <c r="P34" s="1"/>
      <c r="Q34" s="1"/>
      <c r="R34" s="1"/>
      <c r="S34" s="1"/>
    </row>
    <row r="35" spans="1:19" ht="15.75" customHeight="1" thickBot="1" x14ac:dyDescent="0.35">
      <c r="A35" s="1"/>
      <c r="B35" s="92"/>
      <c r="C35" s="93"/>
      <c r="D35" s="93"/>
      <c r="E35" s="93"/>
      <c r="F35" s="93"/>
      <c r="G35" s="93"/>
      <c r="H35" s="94"/>
      <c r="I35" s="67">
        <v>0</v>
      </c>
      <c r="J35" s="1"/>
      <c r="K35" s="1"/>
      <c r="L35" s="106" t="s">
        <v>16</v>
      </c>
      <c r="M35" s="107"/>
      <c r="N35" s="107"/>
      <c r="O35" s="107"/>
      <c r="P35" s="107"/>
      <c r="Q35" s="107"/>
      <c r="R35" s="107"/>
      <c r="S35" s="107"/>
    </row>
    <row r="36" spans="1:19" ht="15.75" customHeight="1" x14ac:dyDescent="0.3">
      <c r="A36" s="1"/>
      <c r="B36" s="92"/>
      <c r="C36" s="93"/>
      <c r="D36" s="93"/>
      <c r="E36" s="93"/>
      <c r="F36" s="93"/>
      <c r="G36" s="93"/>
      <c r="H36" s="94"/>
      <c r="I36" s="67">
        <v>0</v>
      </c>
      <c r="J36" s="1"/>
      <c r="K36" s="1"/>
      <c r="L36" s="11"/>
      <c r="M36" s="100" t="s">
        <v>17</v>
      </c>
      <c r="N36" s="101"/>
      <c r="O36" s="101"/>
      <c r="P36" s="101"/>
      <c r="Q36" s="101"/>
      <c r="R36" s="101"/>
      <c r="S36" s="102"/>
    </row>
    <row r="37" spans="1:19" ht="15" thickBot="1" x14ac:dyDescent="0.35">
      <c r="A37" s="1"/>
      <c r="B37" s="92"/>
      <c r="C37" s="93"/>
      <c r="D37" s="93"/>
      <c r="E37" s="93"/>
      <c r="F37" s="93"/>
      <c r="G37" s="93"/>
      <c r="H37" s="94"/>
      <c r="I37" s="67">
        <v>0</v>
      </c>
      <c r="J37" s="1"/>
      <c r="K37" s="1"/>
      <c r="L37" s="12"/>
      <c r="M37" s="103"/>
      <c r="N37" s="104"/>
      <c r="O37" s="104"/>
      <c r="P37" s="104"/>
      <c r="Q37" s="104"/>
      <c r="R37" s="104"/>
      <c r="S37" s="105"/>
    </row>
    <row r="38" spans="1:19" ht="15" thickBot="1" x14ac:dyDescent="0.35">
      <c r="A38" s="1"/>
      <c r="B38" s="83"/>
      <c r="C38" s="84"/>
      <c r="D38" s="84"/>
      <c r="E38" s="84"/>
      <c r="F38" s="84"/>
      <c r="G38" s="84"/>
      <c r="H38" s="85"/>
      <c r="I38" s="68">
        <v>0</v>
      </c>
      <c r="J38" s="1"/>
      <c r="K38" s="1"/>
      <c r="L38" s="13">
        <v>-3</v>
      </c>
      <c r="M38" s="108" t="s">
        <v>86</v>
      </c>
      <c r="N38" s="109"/>
      <c r="O38" s="109"/>
      <c r="P38" s="109"/>
      <c r="Q38" s="109"/>
      <c r="R38" s="109"/>
      <c r="S38" s="110"/>
    </row>
    <row r="39" spans="1:19" ht="15.75" customHeight="1" thickBot="1" x14ac:dyDescent="0.35">
      <c r="A39" s="1"/>
      <c r="B39" s="111" t="s">
        <v>4</v>
      </c>
      <c r="C39" s="112"/>
      <c r="D39" s="112"/>
      <c r="E39" s="112"/>
      <c r="F39" s="112"/>
      <c r="G39" s="112"/>
      <c r="H39" s="113"/>
      <c r="I39" s="15">
        <f>SUM(I34:I38)</f>
        <v>0</v>
      </c>
      <c r="J39" s="1"/>
      <c r="K39" s="1"/>
      <c r="L39" s="14">
        <v>-2</v>
      </c>
      <c r="M39" s="108" t="s">
        <v>23</v>
      </c>
      <c r="N39" s="109"/>
      <c r="O39" s="109"/>
      <c r="P39" s="109"/>
      <c r="Q39" s="109"/>
      <c r="R39" s="109"/>
      <c r="S39" s="110"/>
    </row>
    <row r="40" spans="1:19" x14ac:dyDescent="0.3">
      <c r="A40" s="1"/>
      <c r="J40" s="1"/>
      <c r="K40" s="1"/>
      <c r="L40" s="14">
        <v>-1</v>
      </c>
      <c r="M40" s="108" t="s">
        <v>24</v>
      </c>
      <c r="N40" s="109"/>
      <c r="O40" s="109"/>
      <c r="P40" s="109"/>
      <c r="Q40" s="109"/>
      <c r="R40" s="109"/>
      <c r="S40" s="110"/>
    </row>
    <row r="41" spans="1:19" ht="15" thickBot="1" x14ac:dyDescent="0.35">
      <c r="A41" s="1"/>
      <c r="J41" s="1"/>
      <c r="K41" s="1"/>
      <c r="L41" s="14">
        <v>0</v>
      </c>
      <c r="M41" s="108" t="s">
        <v>25</v>
      </c>
      <c r="N41" s="109"/>
      <c r="O41" s="109"/>
      <c r="P41" s="109"/>
      <c r="Q41" s="109"/>
      <c r="R41" s="109"/>
      <c r="S41" s="110"/>
    </row>
    <row r="42" spans="1:19" x14ac:dyDescent="0.3">
      <c r="A42" s="1"/>
      <c r="B42" s="195" t="s">
        <v>28</v>
      </c>
      <c r="C42" s="196"/>
      <c r="D42" s="196"/>
      <c r="E42" s="196"/>
      <c r="F42" s="196"/>
      <c r="G42" s="196"/>
      <c r="H42" s="196"/>
      <c r="I42" s="197"/>
      <c r="J42" s="1"/>
      <c r="K42" s="1"/>
      <c r="L42" s="14">
        <v>0.5</v>
      </c>
      <c r="M42" s="108" t="s">
        <v>26</v>
      </c>
      <c r="N42" s="109"/>
      <c r="O42" s="109"/>
      <c r="P42" s="109"/>
      <c r="Q42" s="109"/>
      <c r="R42" s="109"/>
      <c r="S42" s="110"/>
    </row>
    <row r="43" spans="1:19" ht="15" thickBot="1" x14ac:dyDescent="0.35">
      <c r="A43" s="1"/>
      <c r="B43" s="170"/>
      <c r="C43" s="171"/>
      <c r="D43" s="171"/>
      <c r="E43" s="171"/>
      <c r="F43" s="171"/>
      <c r="G43" s="171"/>
      <c r="H43" s="171"/>
      <c r="I43" s="172"/>
      <c r="J43" s="1"/>
      <c r="K43" s="1"/>
      <c r="L43" s="16">
        <v>1</v>
      </c>
      <c r="M43" s="192" t="s">
        <v>87</v>
      </c>
      <c r="N43" s="193"/>
      <c r="O43" s="193"/>
      <c r="P43" s="193"/>
      <c r="Q43" s="193"/>
      <c r="R43" s="193"/>
      <c r="S43" s="194"/>
    </row>
    <row r="44" spans="1:19" x14ac:dyDescent="0.3">
      <c r="A44" s="1"/>
      <c r="B44" s="170"/>
      <c r="C44" s="171"/>
      <c r="D44" s="171"/>
      <c r="E44" s="171"/>
      <c r="F44" s="171"/>
      <c r="G44" s="171"/>
      <c r="H44" s="171"/>
      <c r="I44" s="172"/>
      <c r="J44" s="1"/>
      <c r="K44" s="1"/>
      <c r="L44" s="1"/>
      <c r="M44" s="1"/>
      <c r="N44" s="1"/>
      <c r="O44" s="1"/>
      <c r="P44" s="1"/>
      <c r="Q44" s="1"/>
      <c r="R44" s="1"/>
      <c r="S44" s="1"/>
    </row>
    <row r="45" spans="1:19" x14ac:dyDescent="0.3">
      <c r="A45" s="1"/>
      <c r="B45" s="170"/>
      <c r="C45" s="171"/>
      <c r="D45" s="171"/>
      <c r="E45" s="171"/>
      <c r="F45" s="171"/>
      <c r="G45" s="171"/>
      <c r="H45" s="171"/>
      <c r="I45" s="172"/>
      <c r="J45" s="1"/>
      <c r="K45" s="1"/>
      <c r="L45" s="1"/>
      <c r="M45" s="1"/>
      <c r="N45" s="1"/>
      <c r="O45" s="1"/>
      <c r="P45" s="1"/>
      <c r="Q45" s="1"/>
      <c r="R45" s="1"/>
      <c r="S45" s="1"/>
    </row>
    <row r="46" spans="1:19" ht="15" customHeight="1" x14ac:dyDescent="0.3">
      <c r="A46" s="1"/>
      <c r="B46" s="170"/>
      <c r="C46" s="171"/>
      <c r="D46" s="171"/>
      <c r="E46" s="171"/>
      <c r="F46" s="171"/>
      <c r="G46" s="171"/>
      <c r="H46" s="171"/>
      <c r="I46" s="172"/>
      <c r="J46" s="1"/>
      <c r="K46" s="1"/>
      <c r="L46" s="1"/>
      <c r="M46" s="1"/>
      <c r="N46" s="1"/>
      <c r="O46" s="1"/>
      <c r="P46" s="1"/>
      <c r="Q46" s="1"/>
      <c r="R46" s="1"/>
      <c r="S46" s="1"/>
    </row>
    <row r="47" spans="1:19" x14ac:dyDescent="0.3">
      <c r="A47" s="1"/>
      <c r="B47" s="167"/>
      <c r="C47" s="168"/>
      <c r="D47" s="168"/>
      <c r="E47" s="168"/>
      <c r="F47" s="168"/>
      <c r="G47" s="168"/>
      <c r="H47" s="168"/>
      <c r="I47" s="169"/>
      <c r="J47" s="1"/>
      <c r="K47" s="1"/>
      <c r="L47" s="1"/>
      <c r="M47" s="1"/>
      <c r="N47" s="1"/>
      <c r="O47" s="1"/>
      <c r="P47" s="1"/>
      <c r="Q47" s="1"/>
      <c r="R47" s="1"/>
      <c r="S47" s="1"/>
    </row>
    <row r="48" spans="1:19" x14ac:dyDescent="0.3">
      <c r="A48" s="1"/>
      <c r="B48" s="167"/>
      <c r="C48" s="168"/>
      <c r="D48" s="168"/>
      <c r="E48" s="168"/>
      <c r="F48" s="168"/>
      <c r="G48" s="168"/>
      <c r="H48" s="168"/>
      <c r="I48" s="169"/>
      <c r="J48" s="1"/>
      <c r="K48" s="1"/>
      <c r="L48" s="1"/>
      <c r="M48" s="1"/>
      <c r="N48" s="1"/>
      <c r="O48" s="1"/>
      <c r="P48" s="1"/>
      <c r="Q48" s="1"/>
      <c r="R48" s="1"/>
      <c r="S48" s="1"/>
    </row>
    <row r="49" spans="1:19" x14ac:dyDescent="0.3">
      <c r="A49" s="1"/>
      <c r="B49" s="167"/>
      <c r="C49" s="168"/>
      <c r="D49" s="168"/>
      <c r="E49" s="168"/>
      <c r="F49" s="168"/>
      <c r="G49" s="168"/>
      <c r="H49" s="168"/>
      <c r="I49" s="169"/>
      <c r="J49" s="1"/>
      <c r="K49" s="1"/>
      <c r="L49" s="1"/>
      <c r="M49" s="1"/>
      <c r="N49" s="1"/>
      <c r="O49" s="1"/>
      <c r="P49" s="1"/>
      <c r="Q49" s="1"/>
      <c r="R49" s="1"/>
      <c r="S49" s="1"/>
    </row>
    <row r="50" spans="1:19" ht="15" thickBot="1" x14ac:dyDescent="0.35">
      <c r="A50" s="1"/>
      <c r="B50" s="179"/>
      <c r="C50" s="180"/>
      <c r="D50" s="180"/>
      <c r="E50" s="180"/>
      <c r="F50" s="180"/>
      <c r="G50" s="180"/>
      <c r="H50" s="180"/>
      <c r="I50" s="181"/>
      <c r="J50" s="1"/>
      <c r="K50" s="1"/>
    </row>
    <row r="51" spans="1:19" x14ac:dyDescent="0.3">
      <c r="A51" s="1"/>
      <c r="J51" s="1"/>
      <c r="K51" s="1"/>
    </row>
    <row r="52" spans="1:19" x14ac:dyDescent="0.3">
      <c r="A52" s="1"/>
      <c r="J52" s="1"/>
      <c r="K52" s="1"/>
    </row>
    <row r="53" spans="1:19" x14ac:dyDescent="0.3">
      <c r="A53" s="1"/>
      <c r="J53" s="1"/>
      <c r="K53" s="1"/>
    </row>
    <row r="54" spans="1:19" x14ac:dyDescent="0.3">
      <c r="A54" s="1"/>
      <c r="J54" s="1"/>
      <c r="K54" s="1"/>
    </row>
    <row r="55" spans="1:19" x14ac:dyDescent="0.3">
      <c r="A55" s="1"/>
      <c r="J55" s="1"/>
      <c r="K55" s="1"/>
    </row>
  </sheetData>
  <sheetProtection selectLockedCells="1"/>
  <mergeCells count="97">
    <mergeCell ref="N32:O32"/>
    <mergeCell ref="P32:R32"/>
    <mergeCell ref="N31:O31"/>
    <mergeCell ref="P31:R31"/>
    <mergeCell ref="N30:O30"/>
    <mergeCell ref="P30:R30"/>
    <mergeCell ref="B44:I44"/>
    <mergeCell ref="B45:I45"/>
    <mergeCell ref="B46:I46"/>
    <mergeCell ref="B47:I47"/>
    <mergeCell ref="P33:R33"/>
    <mergeCell ref="M43:S43"/>
    <mergeCell ref="M40:S40"/>
    <mergeCell ref="M41:S41"/>
    <mergeCell ref="M42:S42"/>
    <mergeCell ref="B39:H39"/>
    <mergeCell ref="M39:S39"/>
    <mergeCell ref="B42:I42"/>
    <mergeCell ref="B48:I48"/>
    <mergeCell ref="B43:I43"/>
    <mergeCell ref="B2:S3"/>
    <mergeCell ref="B49:I49"/>
    <mergeCell ref="B50:I50"/>
    <mergeCell ref="B5:E5"/>
    <mergeCell ref="G5:K5"/>
    <mergeCell ref="B6:E7"/>
    <mergeCell ref="G6:K7"/>
    <mergeCell ref="M5:Q5"/>
    <mergeCell ref="M6:Q7"/>
    <mergeCell ref="D15:E15"/>
    <mergeCell ref="D16:E16"/>
    <mergeCell ref="F12:H12"/>
    <mergeCell ref="F13:H13"/>
    <mergeCell ref="F14:H14"/>
    <mergeCell ref="F15:H15"/>
    <mergeCell ref="F16:H16"/>
    <mergeCell ref="N21:O21"/>
    <mergeCell ref="P21:R21"/>
    <mergeCell ref="D12:E12"/>
    <mergeCell ref="D13:E13"/>
    <mergeCell ref="D14:E14"/>
    <mergeCell ref="N15:O15"/>
    <mergeCell ref="P15:R15"/>
    <mergeCell ref="N16:O16"/>
    <mergeCell ref="P16:R16"/>
    <mergeCell ref="N17:O17"/>
    <mergeCell ref="P17:R17"/>
    <mergeCell ref="E18:E19"/>
    <mergeCell ref="J15:K15"/>
    <mergeCell ref="J16:K16"/>
    <mergeCell ref="N11:R11"/>
    <mergeCell ref="N12:R13"/>
    <mergeCell ref="N14:O14"/>
    <mergeCell ref="P14:R14"/>
    <mergeCell ref="F11:H11"/>
    <mergeCell ref="D11:E11"/>
    <mergeCell ref="J11:K11"/>
    <mergeCell ref="J12:K12"/>
    <mergeCell ref="J13:K13"/>
    <mergeCell ref="J14:K14"/>
    <mergeCell ref="P28:R28"/>
    <mergeCell ref="N29:O29"/>
    <mergeCell ref="P29:R29"/>
    <mergeCell ref="N18:O18"/>
    <mergeCell ref="N19:O19"/>
    <mergeCell ref="P19:R19"/>
    <mergeCell ref="P20:R20"/>
    <mergeCell ref="P18:R18"/>
    <mergeCell ref="N23:R23"/>
    <mergeCell ref="N24:R25"/>
    <mergeCell ref="N26:O26"/>
    <mergeCell ref="P26:R26"/>
    <mergeCell ref="N27:O27"/>
    <mergeCell ref="P27:R27"/>
    <mergeCell ref="N28:O28"/>
    <mergeCell ref="B10:K10"/>
    <mergeCell ref="N33:O33"/>
    <mergeCell ref="N20:O20"/>
    <mergeCell ref="B37:H37"/>
    <mergeCell ref="B38:H38"/>
    <mergeCell ref="M36:S37"/>
    <mergeCell ref="B34:H34"/>
    <mergeCell ref="B35:H35"/>
    <mergeCell ref="L35:S35"/>
    <mergeCell ref="M38:S38"/>
    <mergeCell ref="B29:H29"/>
    <mergeCell ref="B36:H36"/>
    <mergeCell ref="B22:I22"/>
    <mergeCell ref="B32:I32"/>
    <mergeCell ref="B18:D18"/>
    <mergeCell ref="B19:D19"/>
    <mergeCell ref="B28:H28"/>
    <mergeCell ref="C23:H23"/>
    <mergeCell ref="B24:H24"/>
    <mergeCell ref="B25:H25"/>
    <mergeCell ref="B26:H26"/>
    <mergeCell ref="B27:H27"/>
  </mergeCells>
  <hyperlinks>
    <hyperlink ref="D12" r:id="rId1" xr:uid="{79785ECF-CE59-45D8-885B-539B17F4CC97}"/>
    <hyperlink ref="D13" r:id="rId2" xr:uid="{20F84E8F-FC58-4042-BCF7-E8D2768271D7}"/>
    <hyperlink ref="D14" r:id="rId3" xr:uid="{CA3C5D50-B760-46AD-9C90-3DE2CC0F095A}"/>
  </hyperlinks>
  <pageMargins left="0.7" right="0.7" top="0.75" bottom="0.75" header="0.3" footer="0.3"/>
  <pageSetup orientation="portrait" horizontalDpi="300" verticalDpi="300"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159"/>
  <sheetViews>
    <sheetView topLeftCell="B22" workbookViewId="0">
      <selection activeCell="D16" sqref="D16"/>
    </sheetView>
  </sheetViews>
  <sheetFormatPr defaultRowHeight="14.4" x14ac:dyDescent="0.3"/>
  <cols>
    <col min="1" max="1" width="0.5546875" customWidth="1"/>
    <col min="2" max="2" width="8.5546875" customWidth="1"/>
    <col min="3" max="3" width="61.5546875" customWidth="1"/>
    <col min="4" max="5" width="14.21875" customWidth="1"/>
    <col min="6" max="6" width="91" customWidth="1"/>
  </cols>
  <sheetData>
    <row r="1" spans="1:6" ht="3.75" customHeight="1" thickBot="1" x14ac:dyDescent="0.35">
      <c r="A1" s="1"/>
      <c r="B1" s="1"/>
      <c r="C1" s="1"/>
      <c r="D1" s="1"/>
      <c r="E1" s="1"/>
      <c r="F1" s="1"/>
    </row>
    <row r="2" spans="1:6" ht="15" customHeight="1" x14ac:dyDescent="0.3">
      <c r="A2" s="1"/>
      <c r="B2" s="17" t="s">
        <v>4</v>
      </c>
      <c r="C2" s="198" t="s">
        <v>34</v>
      </c>
      <c r="D2" s="18" t="s">
        <v>2</v>
      </c>
      <c r="E2" s="18" t="s">
        <v>3</v>
      </c>
      <c r="F2" s="19"/>
    </row>
    <row r="3" spans="1:6" ht="15.75" customHeight="1" thickBot="1" x14ac:dyDescent="0.35">
      <c r="A3" s="1"/>
      <c r="B3" s="20">
        <v>0.2</v>
      </c>
      <c r="C3" s="199"/>
      <c r="D3" s="21" t="str" cm="1">
        <f t="array" ref="D3">GetGrade(D7, SUM(D14,D21,D28))</f>
        <v>F</v>
      </c>
      <c r="E3" s="22" t="str" cm="1">
        <f t="array" ref="E3">GetGrade(D10, SUM(D17,D24,D31))</f>
        <v>F</v>
      </c>
      <c r="F3" s="23"/>
    </row>
    <row r="4" spans="1:6" ht="3.75" customHeight="1" thickBot="1" x14ac:dyDescent="0.35">
      <c r="A4" s="1"/>
      <c r="B4" s="24"/>
      <c r="C4" s="25"/>
      <c r="D4" s="25"/>
      <c r="E4" s="26"/>
      <c r="F4" s="27"/>
    </row>
    <row r="5" spans="1:6" ht="15" thickBot="1" x14ac:dyDescent="0.35">
      <c r="A5" s="1"/>
      <c r="B5" s="28" t="s">
        <v>30</v>
      </c>
      <c r="C5" s="29" t="s">
        <v>29</v>
      </c>
      <c r="D5" s="30" t="s">
        <v>1</v>
      </c>
      <c r="E5" s="29"/>
      <c r="F5" s="31" t="s">
        <v>41</v>
      </c>
    </row>
    <row r="6" spans="1:6" x14ac:dyDescent="0.3">
      <c r="A6" s="1"/>
      <c r="B6" s="32" t="s">
        <v>95</v>
      </c>
      <c r="C6" s="33" t="s">
        <v>31</v>
      </c>
      <c r="D6" s="34" t="s">
        <v>2</v>
      </c>
      <c r="E6" s="34"/>
      <c r="F6" s="35" t="s">
        <v>0</v>
      </c>
    </row>
    <row r="7" spans="1:6" x14ac:dyDescent="0.3">
      <c r="A7" s="1"/>
      <c r="B7" s="37" t="s">
        <v>100</v>
      </c>
      <c r="C7" s="36" t="s">
        <v>32</v>
      </c>
      <c r="D7" s="210">
        <v>0</v>
      </c>
      <c r="E7" s="200"/>
      <c r="F7" s="204"/>
    </row>
    <row r="8" spans="1:6" ht="15" thickBot="1" x14ac:dyDescent="0.35">
      <c r="A8" s="1"/>
      <c r="B8" s="37" t="s">
        <v>99</v>
      </c>
      <c r="C8" s="36" t="s">
        <v>33</v>
      </c>
      <c r="D8" s="211"/>
      <c r="E8" s="201"/>
      <c r="F8" s="205"/>
    </row>
    <row r="9" spans="1:6" x14ac:dyDescent="0.3">
      <c r="A9" s="1"/>
      <c r="B9" s="37" t="s">
        <v>98</v>
      </c>
      <c r="C9" s="36" t="s">
        <v>35</v>
      </c>
      <c r="D9" s="34" t="s">
        <v>38</v>
      </c>
      <c r="E9" s="38"/>
      <c r="F9" s="35" t="s">
        <v>39</v>
      </c>
    </row>
    <row r="10" spans="1:6" x14ac:dyDescent="0.3">
      <c r="A10" s="1"/>
      <c r="B10" s="37" t="s">
        <v>97</v>
      </c>
      <c r="C10" s="36" t="s">
        <v>36</v>
      </c>
      <c r="D10" s="208">
        <v>0</v>
      </c>
      <c r="E10" s="202"/>
      <c r="F10" s="206"/>
    </row>
    <row r="11" spans="1:6" x14ac:dyDescent="0.3">
      <c r="A11" s="1"/>
      <c r="B11" s="37" t="s">
        <v>96</v>
      </c>
      <c r="C11" s="36" t="s">
        <v>37</v>
      </c>
      <c r="D11" s="209"/>
      <c r="E11" s="203"/>
      <c r="F11" s="207"/>
    </row>
    <row r="12" spans="1:6" ht="7.5" customHeight="1" thickBot="1" x14ac:dyDescent="0.35">
      <c r="A12" s="1"/>
      <c r="B12" s="41"/>
      <c r="C12" s="42"/>
      <c r="D12" s="43"/>
      <c r="E12" s="44"/>
      <c r="F12" s="45"/>
    </row>
    <row r="13" spans="1:6" ht="15" thickBot="1" x14ac:dyDescent="0.35">
      <c r="A13" s="1"/>
      <c r="B13" s="218">
        <v>-1</v>
      </c>
      <c r="C13" s="220" t="s">
        <v>42</v>
      </c>
      <c r="D13" s="46" t="s">
        <v>2</v>
      </c>
      <c r="E13" s="46"/>
      <c r="F13" s="47" t="s">
        <v>0</v>
      </c>
    </row>
    <row r="14" spans="1:6" x14ac:dyDescent="0.3">
      <c r="A14" s="1"/>
      <c r="B14" s="219"/>
      <c r="C14" s="221"/>
      <c r="D14" s="222">
        <v>0</v>
      </c>
      <c r="E14" s="212"/>
      <c r="F14" s="214"/>
    </row>
    <row r="15" spans="1:6" x14ac:dyDescent="0.3">
      <c r="A15" s="1"/>
      <c r="B15" s="219"/>
      <c r="C15" s="221"/>
      <c r="D15" s="223"/>
      <c r="E15" s="200"/>
      <c r="F15" s="204"/>
    </row>
    <row r="16" spans="1:6" x14ac:dyDescent="0.3">
      <c r="A16" s="1"/>
      <c r="B16" s="219">
        <v>-0.5</v>
      </c>
      <c r="C16" s="221" t="s">
        <v>43</v>
      </c>
      <c r="D16" s="34" t="s">
        <v>38</v>
      </c>
      <c r="E16" s="38"/>
      <c r="F16" s="35" t="s">
        <v>39</v>
      </c>
    </row>
    <row r="17" spans="1:6" x14ac:dyDescent="0.3">
      <c r="A17" s="1"/>
      <c r="B17" s="219"/>
      <c r="C17" s="221"/>
      <c r="D17" s="216">
        <v>0</v>
      </c>
      <c r="E17" s="202"/>
      <c r="F17" s="206"/>
    </row>
    <row r="18" spans="1:6" ht="15" thickBot="1" x14ac:dyDescent="0.35">
      <c r="A18" s="1"/>
      <c r="B18" s="76">
        <v>0</v>
      </c>
      <c r="C18" s="48" t="s">
        <v>44</v>
      </c>
      <c r="D18" s="217"/>
      <c r="E18" s="213"/>
      <c r="F18" s="215"/>
    </row>
    <row r="19" spans="1:6" ht="7.5" customHeight="1" thickBot="1" x14ac:dyDescent="0.35">
      <c r="A19" s="1"/>
      <c r="B19" s="49"/>
      <c r="C19" s="50"/>
      <c r="D19" s="50"/>
      <c r="E19" s="50"/>
      <c r="F19" s="51"/>
    </row>
    <row r="20" spans="1:6" ht="15" thickBot="1" x14ac:dyDescent="0.35">
      <c r="A20" s="1"/>
      <c r="B20" s="218">
        <v>-1</v>
      </c>
      <c r="C20" s="220" t="s">
        <v>46</v>
      </c>
      <c r="D20" s="46" t="s">
        <v>2</v>
      </c>
      <c r="E20" s="46"/>
      <c r="F20" s="47" t="s">
        <v>0</v>
      </c>
    </row>
    <row r="21" spans="1:6" x14ac:dyDescent="0.3">
      <c r="A21" s="1"/>
      <c r="B21" s="219"/>
      <c r="C21" s="221"/>
      <c r="D21" s="222">
        <v>0</v>
      </c>
      <c r="E21" s="212"/>
      <c r="F21" s="214"/>
    </row>
    <row r="22" spans="1:6" x14ac:dyDescent="0.3">
      <c r="A22" s="1"/>
      <c r="B22" s="219">
        <v>-0.5</v>
      </c>
      <c r="C22" s="221" t="s">
        <v>47</v>
      </c>
      <c r="D22" s="223"/>
      <c r="E22" s="200"/>
      <c r="F22" s="204"/>
    </row>
    <row r="23" spans="1:6" x14ac:dyDescent="0.3">
      <c r="A23" s="1"/>
      <c r="B23" s="219"/>
      <c r="C23" s="221"/>
      <c r="D23" s="34" t="s">
        <v>38</v>
      </c>
      <c r="E23" s="38"/>
      <c r="F23" s="35" t="s">
        <v>39</v>
      </c>
    </row>
    <row r="24" spans="1:6" x14ac:dyDescent="0.3">
      <c r="A24" s="1"/>
      <c r="B24" s="77">
        <v>0</v>
      </c>
      <c r="C24" s="52" t="s">
        <v>48</v>
      </c>
      <c r="D24" s="216">
        <v>0</v>
      </c>
      <c r="E24" s="202"/>
      <c r="F24" s="206"/>
    </row>
    <row r="25" spans="1:6" ht="15" thickBot="1" x14ac:dyDescent="0.35">
      <c r="A25" s="1"/>
      <c r="B25" s="76">
        <v>0.5</v>
      </c>
      <c r="C25" s="48" t="s">
        <v>45</v>
      </c>
      <c r="D25" s="217"/>
      <c r="E25" s="213"/>
      <c r="F25" s="215"/>
    </row>
    <row r="26" spans="1:6" ht="7.5" customHeight="1" thickBot="1" x14ac:dyDescent="0.35">
      <c r="A26" s="1"/>
      <c r="B26" s="53"/>
      <c r="C26" s="50"/>
      <c r="D26" s="50"/>
      <c r="E26" s="50"/>
      <c r="F26" s="51"/>
    </row>
    <row r="27" spans="1:6" ht="15" thickBot="1" x14ac:dyDescent="0.35">
      <c r="A27" s="1"/>
      <c r="B27" s="219">
        <v>0.5</v>
      </c>
      <c r="C27" s="225" t="s">
        <v>110</v>
      </c>
      <c r="D27" s="46" t="s">
        <v>2</v>
      </c>
      <c r="E27" s="46"/>
      <c r="F27" s="47" t="s">
        <v>0</v>
      </c>
    </row>
    <row r="28" spans="1:6" x14ac:dyDescent="0.3">
      <c r="A28" s="1"/>
      <c r="B28" s="219"/>
      <c r="C28" s="225"/>
      <c r="D28" s="222">
        <f>E28</f>
        <v>0</v>
      </c>
      <c r="E28" s="212"/>
      <c r="F28" s="214"/>
    </row>
    <row r="29" spans="1:6" x14ac:dyDescent="0.3">
      <c r="A29" s="1"/>
      <c r="B29" s="219"/>
      <c r="C29" s="225"/>
      <c r="D29" s="223"/>
      <c r="E29" s="200"/>
      <c r="F29" s="204"/>
    </row>
    <row r="30" spans="1:6" x14ac:dyDescent="0.3">
      <c r="A30" s="1"/>
      <c r="B30" s="219">
        <v>0.5</v>
      </c>
      <c r="C30" s="225" t="s">
        <v>111</v>
      </c>
      <c r="D30" s="34" t="s">
        <v>38</v>
      </c>
      <c r="E30" s="38" t="s">
        <v>40</v>
      </c>
      <c r="F30" s="35" t="s">
        <v>39</v>
      </c>
    </row>
    <row r="31" spans="1:6" x14ac:dyDescent="0.3">
      <c r="A31" s="1"/>
      <c r="B31" s="219"/>
      <c r="C31" s="225"/>
      <c r="D31" s="216">
        <f>E31</f>
        <v>0</v>
      </c>
      <c r="E31" s="202"/>
      <c r="F31" s="206"/>
    </row>
    <row r="32" spans="1:6" ht="15" thickBot="1" x14ac:dyDescent="0.35">
      <c r="A32" s="1"/>
      <c r="B32" s="224"/>
      <c r="C32" s="226"/>
      <c r="D32" s="217"/>
      <c r="E32" s="213"/>
      <c r="F32" s="215"/>
    </row>
    <row r="33" spans="1:6" x14ac:dyDescent="0.3">
      <c r="A33" s="1"/>
      <c r="B33" s="1"/>
      <c r="C33" s="1"/>
      <c r="D33" s="1"/>
      <c r="E33" s="1"/>
      <c r="F33" s="1"/>
    </row>
    <row r="34" spans="1:6" ht="15" thickBot="1" x14ac:dyDescent="0.35">
      <c r="A34" s="1"/>
      <c r="B34" s="1"/>
      <c r="C34" s="1"/>
      <c r="D34" s="1"/>
      <c r="E34" s="1"/>
      <c r="F34" s="1"/>
    </row>
    <row r="35" spans="1:6" x14ac:dyDescent="0.3">
      <c r="A35" s="1"/>
      <c r="B35" s="17" t="s">
        <v>4</v>
      </c>
      <c r="C35" s="198" t="s">
        <v>104</v>
      </c>
      <c r="D35" s="18" t="s">
        <v>2</v>
      </c>
      <c r="E35" s="18" t="s">
        <v>3</v>
      </c>
      <c r="F35" s="19"/>
    </row>
    <row r="36" spans="1:6" ht="15" thickBot="1" x14ac:dyDescent="0.35">
      <c r="A36" s="1"/>
      <c r="B36" s="20">
        <v>0.4</v>
      </c>
      <c r="C36" s="199"/>
      <c r="D36" s="21" t="str" cm="1">
        <f t="array" ref="D36">GetGrade(D40, SUM(D48,D55,D62))</f>
        <v>F</v>
      </c>
      <c r="E36" s="22" t="str" cm="1">
        <f t="array" ref="E36">GetGrade(D43, SUM(D51,D58,D65))</f>
        <v>F</v>
      </c>
      <c r="F36" s="23"/>
    </row>
    <row r="37" spans="1:6" ht="13.95" customHeight="1" thickBot="1" x14ac:dyDescent="0.35">
      <c r="A37" s="1"/>
      <c r="B37" s="24"/>
      <c r="C37" s="25"/>
      <c r="D37" s="25"/>
      <c r="E37" s="26"/>
      <c r="F37" s="27"/>
    </row>
    <row r="38" spans="1:6" ht="15" thickBot="1" x14ac:dyDescent="0.35">
      <c r="A38" s="1"/>
      <c r="B38" s="28" t="s">
        <v>30</v>
      </c>
      <c r="C38" s="29" t="s">
        <v>29</v>
      </c>
      <c r="D38" s="30" t="s">
        <v>1</v>
      </c>
      <c r="E38" s="29"/>
      <c r="F38" s="31" t="s">
        <v>41</v>
      </c>
    </row>
    <row r="39" spans="1:6" ht="15" thickBot="1" x14ac:dyDescent="0.35">
      <c r="A39" s="1"/>
      <c r="B39" s="229" t="s">
        <v>95</v>
      </c>
      <c r="C39" s="231" t="s">
        <v>105</v>
      </c>
      <c r="D39" s="34" t="s">
        <v>2</v>
      </c>
      <c r="E39" s="34"/>
      <c r="F39" s="35" t="s">
        <v>0</v>
      </c>
    </row>
    <row r="40" spans="1:6" x14ac:dyDescent="0.3">
      <c r="A40" s="1"/>
      <c r="B40" s="230"/>
      <c r="C40" s="232"/>
      <c r="D40" s="227">
        <v>0</v>
      </c>
      <c r="E40" s="212"/>
      <c r="F40" s="214"/>
    </row>
    <row r="41" spans="1:6" ht="28.8" x14ac:dyDescent="0.3">
      <c r="A41" s="1"/>
      <c r="B41" s="37" t="s">
        <v>100</v>
      </c>
      <c r="C41" s="78" t="s">
        <v>106</v>
      </c>
      <c r="D41" s="210"/>
      <c r="E41" s="200"/>
      <c r="F41" s="204"/>
    </row>
    <row r="42" spans="1:6" ht="28.8" x14ac:dyDescent="0.3">
      <c r="A42" s="1"/>
      <c r="B42" s="37" t="s">
        <v>99</v>
      </c>
      <c r="C42" s="78" t="s">
        <v>107</v>
      </c>
      <c r="D42" s="34" t="s">
        <v>38</v>
      </c>
      <c r="E42" s="38"/>
      <c r="F42" s="35" t="s">
        <v>39</v>
      </c>
    </row>
    <row r="43" spans="1:6" x14ac:dyDescent="0.3">
      <c r="A43" s="1"/>
      <c r="B43" s="37" t="s">
        <v>98</v>
      </c>
      <c r="C43" s="78" t="s">
        <v>112</v>
      </c>
      <c r="D43" s="208">
        <f>E43*$B$36</f>
        <v>0</v>
      </c>
      <c r="E43" s="202"/>
      <c r="F43" s="206"/>
    </row>
    <row r="44" spans="1:6" ht="43.2" x14ac:dyDescent="0.3">
      <c r="A44" s="1"/>
      <c r="B44" s="37" t="s">
        <v>97</v>
      </c>
      <c r="C44" s="78" t="s">
        <v>108</v>
      </c>
      <c r="D44" s="209"/>
      <c r="E44" s="203"/>
      <c r="F44" s="207"/>
    </row>
    <row r="45" spans="1:6" ht="29.4" thickBot="1" x14ac:dyDescent="0.35">
      <c r="A45" s="1"/>
      <c r="B45" s="39" t="s">
        <v>96</v>
      </c>
      <c r="C45" s="79" t="s">
        <v>109</v>
      </c>
      <c r="D45" s="228"/>
      <c r="E45" s="213"/>
      <c r="F45" s="215"/>
    </row>
    <row r="46" spans="1:6" ht="7.5" customHeight="1" thickBot="1" x14ac:dyDescent="0.35">
      <c r="A46" s="1"/>
      <c r="B46" s="49"/>
      <c r="C46" s="50"/>
      <c r="D46" s="50"/>
      <c r="E46" s="50"/>
      <c r="F46" s="51"/>
    </row>
    <row r="47" spans="1:6" ht="15" thickBot="1" x14ac:dyDescent="0.35">
      <c r="A47" s="1"/>
      <c r="B47" s="218">
        <v>-0.5</v>
      </c>
      <c r="C47" s="220" t="s">
        <v>114</v>
      </c>
      <c r="D47" s="46" t="s">
        <v>2</v>
      </c>
      <c r="E47" s="46"/>
      <c r="F47" s="47" t="s">
        <v>0</v>
      </c>
    </row>
    <row r="48" spans="1:6" x14ac:dyDescent="0.3">
      <c r="A48" s="1"/>
      <c r="B48" s="219"/>
      <c r="C48" s="221"/>
      <c r="D48" s="222">
        <f>E48</f>
        <v>0</v>
      </c>
      <c r="E48" s="212"/>
      <c r="F48" s="214"/>
    </row>
    <row r="49" spans="1:6" x14ac:dyDescent="0.3">
      <c r="A49" s="1"/>
      <c r="B49" s="219"/>
      <c r="C49" s="221"/>
      <c r="D49" s="223"/>
      <c r="E49" s="200"/>
      <c r="F49" s="204"/>
    </row>
    <row r="50" spans="1:6" x14ac:dyDescent="0.3">
      <c r="A50" s="1"/>
      <c r="B50" s="77">
        <v>0</v>
      </c>
      <c r="C50" s="52" t="s">
        <v>101</v>
      </c>
      <c r="D50" s="34" t="s">
        <v>38</v>
      </c>
      <c r="E50" s="38"/>
      <c r="F50" s="35" t="s">
        <v>39</v>
      </c>
    </row>
    <row r="51" spans="1:6" x14ac:dyDescent="0.3">
      <c r="A51" s="1"/>
      <c r="B51" s="77">
        <v>0.5</v>
      </c>
      <c r="C51" s="52" t="s">
        <v>102</v>
      </c>
      <c r="D51" s="216">
        <f>E51</f>
        <v>0</v>
      </c>
      <c r="E51" s="202"/>
      <c r="F51" s="206"/>
    </row>
    <row r="52" spans="1:6" ht="15" thickBot="1" x14ac:dyDescent="0.35">
      <c r="A52" s="1"/>
      <c r="B52" s="76">
        <v>1</v>
      </c>
      <c r="C52" s="48" t="s">
        <v>103</v>
      </c>
      <c r="D52" s="217"/>
      <c r="E52" s="213"/>
      <c r="F52" s="215"/>
    </row>
    <row r="53" spans="1:6" ht="7.5" customHeight="1" thickBot="1" x14ac:dyDescent="0.35">
      <c r="A53" s="1"/>
      <c r="B53" s="49"/>
      <c r="C53" s="50"/>
      <c r="D53" s="50"/>
      <c r="E53" s="50"/>
      <c r="F53" s="51"/>
    </row>
    <row r="54" spans="1:6" ht="15" thickBot="1" x14ac:dyDescent="0.35">
      <c r="A54" s="1"/>
      <c r="B54" s="219">
        <v>0.5</v>
      </c>
      <c r="C54" s="225" t="s">
        <v>113</v>
      </c>
      <c r="D54" s="46" t="s">
        <v>2</v>
      </c>
      <c r="E54" s="46"/>
      <c r="F54" s="47" t="s">
        <v>0</v>
      </c>
    </row>
    <row r="55" spans="1:6" x14ac:dyDescent="0.3">
      <c r="A55" s="1"/>
      <c r="B55" s="219"/>
      <c r="C55" s="225"/>
      <c r="D55" s="222">
        <f>E55</f>
        <v>0</v>
      </c>
      <c r="E55" s="212"/>
      <c r="F55" s="214"/>
    </row>
    <row r="56" spans="1:6" x14ac:dyDescent="0.3">
      <c r="A56" s="1"/>
      <c r="B56" s="219"/>
      <c r="C56" s="225"/>
      <c r="D56" s="223"/>
      <c r="E56" s="200"/>
      <c r="F56" s="204"/>
    </row>
    <row r="57" spans="1:6" x14ac:dyDescent="0.3">
      <c r="A57" s="1"/>
      <c r="B57" s="219">
        <v>0.5</v>
      </c>
      <c r="C57" s="233" t="s">
        <v>82</v>
      </c>
      <c r="D57" s="34" t="s">
        <v>38</v>
      </c>
      <c r="E57" s="38"/>
      <c r="F57" s="35" t="s">
        <v>39</v>
      </c>
    </row>
    <row r="58" spans="1:6" x14ac:dyDescent="0.3">
      <c r="A58" s="1"/>
      <c r="B58" s="219"/>
      <c r="C58" s="225"/>
      <c r="D58" s="216">
        <f>E58</f>
        <v>0</v>
      </c>
      <c r="E58" s="202"/>
      <c r="F58" s="206"/>
    </row>
    <row r="59" spans="1:6" ht="15" thickBot="1" x14ac:dyDescent="0.35">
      <c r="A59" s="1"/>
      <c r="B59" s="224"/>
      <c r="C59" s="226"/>
      <c r="D59" s="217"/>
      <c r="E59" s="213"/>
      <c r="F59" s="215"/>
    </row>
    <row r="60" spans="1:6" ht="7.5" customHeight="1" thickBot="1" x14ac:dyDescent="0.35">
      <c r="A60" s="1"/>
      <c r="B60" s="49"/>
      <c r="C60" s="50"/>
      <c r="D60" s="50"/>
      <c r="E60" s="50"/>
      <c r="F60" s="51"/>
    </row>
    <row r="61" spans="1:6" ht="15" thickBot="1" x14ac:dyDescent="0.35">
      <c r="A61" s="1"/>
      <c r="B61" s="242">
        <v>-0.5</v>
      </c>
      <c r="C61" s="245" t="s">
        <v>49</v>
      </c>
      <c r="D61" s="46" t="s">
        <v>2</v>
      </c>
      <c r="E61" s="46"/>
      <c r="F61" s="47" t="s">
        <v>0</v>
      </c>
    </row>
    <row r="62" spans="1:6" x14ac:dyDescent="0.3">
      <c r="A62" s="1"/>
      <c r="B62" s="243"/>
      <c r="C62" s="246"/>
      <c r="D62" s="222">
        <f>E62</f>
        <v>0</v>
      </c>
      <c r="E62" s="212"/>
      <c r="F62" s="214"/>
    </row>
    <row r="63" spans="1:6" x14ac:dyDescent="0.3">
      <c r="A63" s="1"/>
      <c r="B63" s="243"/>
      <c r="C63" s="246"/>
      <c r="D63" s="223"/>
      <c r="E63" s="200"/>
      <c r="F63" s="204"/>
    </row>
    <row r="64" spans="1:6" x14ac:dyDescent="0.3">
      <c r="A64" s="1"/>
      <c r="B64" s="243"/>
      <c r="C64" s="246"/>
      <c r="D64" s="34" t="s">
        <v>38</v>
      </c>
      <c r="E64" s="38"/>
      <c r="F64" s="35" t="s">
        <v>39</v>
      </c>
    </row>
    <row r="65" spans="1:6" x14ac:dyDescent="0.3">
      <c r="A65" s="1"/>
      <c r="B65" s="243"/>
      <c r="C65" s="246"/>
      <c r="D65" s="216">
        <f>E65</f>
        <v>0</v>
      </c>
      <c r="E65" s="202"/>
      <c r="F65" s="206"/>
    </row>
    <row r="66" spans="1:6" ht="15" thickBot="1" x14ac:dyDescent="0.35">
      <c r="A66" s="1"/>
      <c r="B66" s="244"/>
      <c r="C66" s="247"/>
      <c r="D66" s="217"/>
      <c r="E66" s="213"/>
      <c r="F66" s="215"/>
    </row>
    <row r="67" spans="1:6" x14ac:dyDescent="0.3">
      <c r="A67" s="1"/>
      <c r="B67" s="1"/>
      <c r="C67" s="1"/>
      <c r="D67" s="1"/>
      <c r="E67" s="1"/>
      <c r="F67" s="1"/>
    </row>
    <row r="68" spans="1:6" ht="15" thickBot="1" x14ac:dyDescent="0.35">
      <c r="A68" s="1"/>
      <c r="B68" s="1"/>
      <c r="C68" s="1"/>
      <c r="D68" s="1"/>
      <c r="E68" s="1"/>
      <c r="F68" s="1"/>
    </row>
    <row r="69" spans="1:6" x14ac:dyDescent="0.3">
      <c r="A69" s="1"/>
      <c r="B69" s="17" t="s">
        <v>4</v>
      </c>
      <c r="C69" s="248" t="s">
        <v>50</v>
      </c>
      <c r="D69" s="18" t="s">
        <v>2</v>
      </c>
      <c r="E69" s="18" t="s">
        <v>3</v>
      </c>
      <c r="F69" s="19"/>
    </row>
    <row r="70" spans="1:6" ht="15" thickBot="1" x14ac:dyDescent="0.35">
      <c r="A70" s="1"/>
      <c r="B70" s="20">
        <v>0.2</v>
      </c>
      <c r="C70" s="249"/>
      <c r="D70" s="21" t="str" cm="1">
        <f t="array" ref="D70">GetGrade(D74, SUM(D83,D90))</f>
        <v>F</v>
      </c>
      <c r="E70" s="22" t="str" cm="1">
        <f t="array" ref="E70">GetGrade(D74, SUM(D83,D90))</f>
        <v>F</v>
      </c>
      <c r="F70" s="23"/>
    </row>
    <row r="71" spans="1:6" ht="24" thickBot="1" x14ac:dyDescent="0.35">
      <c r="A71" s="1"/>
      <c r="B71" s="24"/>
      <c r="C71" s="25"/>
      <c r="D71" s="25"/>
      <c r="E71" s="26"/>
      <c r="F71" s="27"/>
    </row>
    <row r="72" spans="1:6" ht="15" thickBot="1" x14ac:dyDescent="0.35">
      <c r="A72" s="1"/>
      <c r="B72" s="28" t="s">
        <v>30</v>
      </c>
      <c r="C72" s="29" t="s">
        <v>29</v>
      </c>
      <c r="D72" s="30" t="s">
        <v>1</v>
      </c>
      <c r="E72" s="29"/>
      <c r="F72" s="31" t="s">
        <v>41</v>
      </c>
    </row>
    <row r="73" spans="1:6" ht="15" thickBot="1" x14ac:dyDescent="0.35">
      <c r="A73" s="1"/>
      <c r="B73" s="229" t="s">
        <v>95</v>
      </c>
      <c r="C73" s="234" t="s">
        <v>88</v>
      </c>
      <c r="D73" s="34" t="s">
        <v>2</v>
      </c>
      <c r="E73" s="34"/>
      <c r="F73" s="35" t="s">
        <v>0</v>
      </c>
    </row>
    <row r="74" spans="1:6" x14ac:dyDescent="0.3">
      <c r="A74" s="1"/>
      <c r="B74" s="230"/>
      <c r="C74" s="235"/>
      <c r="D74" s="236">
        <f>E74*$B$70</f>
        <v>0</v>
      </c>
      <c r="E74" s="212"/>
      <c r="F74" s="239"/>
    </row>
    <row r="75" spans="1:6" x14ac:dyDescent="0.3">
      <c r="A75" s="1"/>
      <c r="B75" s="262" t="s">
        <v>100</v>
      </c>
      <c r="C75" s="245" t="s">
        <v>51</v>
      </c>
      <c r="D75" s="237"/>
      <c r="E75" s="200"/>
      <c r="F75" s="240"/>
    </row>
    <row r="76" spans="1:6" ht="7.5" customHeight="1" thickBot="1" x14ac:dyDescent="0.35">
      <c r="A76" s="1"/>
      <c r="B76" s="230"/>
      <c r="C76" s="232"/>
      <c r="D76" s="238"/>
      <c r="E76" s="201"/>
      <c r="F76" s="241"/>
    </row>
    <row r="77" spans="1:6" x14ac:dyDescent="0.3">
      <c r="A77" s="1"/>
      <c r="B77" s="74" t="s">
        <v>99</v>
      </c>
      <c r="C77" s="36" t="s">
        <v>52</v>
      </c>
      <c r="D77" s="34" t="s">
        <v>38</v>
      </c>
      <c r="E77" s="38"/>
      <c r="F77" s="35" t="s">
        <v>39</v>
      </c>
    </row>
    <row r="78" spans="1:6" x14ac:dyDescent="0.3">
      <c r="A78" s="1"/>
      <c r="B78" s="74" t="s">
        <v>98</v>
      </c>
      <c r="C78" s="36" t="s">
        <v>53</v>
      </c>
      <c r="D78" s="258">
        <f>E78*$B$70</f>
        <v>0</v>
      </c>
      <c r="E78" s="202"/>
      <c r="F78" s="252"/>
    </row>
    <row r="79" spans="1:6" x14ac:dyDescent="0.3">
      <c r="A79" s="1"/>
      <c r="B79" s="74" t="s">
        <v>97</v>
      </c>
      <c r="C79" s="36" t="s">
        <v>54</v>
      </c>
      <c r="D79" s="259"/>
      <c r="E79" s="203"/>
      <c r="F79" s="261"/>
    </row>
    <row r="80" spans="1:6" ht="15" thickBot="1" x14ac:dyDescent="0.35">
      <c r="A80" s="1"/>
      <c r="B80" s="39" t="s">
        <v>96</v>
      </c>
      <c r="C80" s="40" t="s">
        <v>55</v>
      </c>
      <c r="D80" s="260"/>
      <c r="E80" s="213"/>
      <c r="F80" s="253"/>
    </row>
    <row r="81" spans="1:6" ht="15" thickBot="1" x14ac:dyDescent="0.35">
      <c r="A81" s="1"/>
      <c r="B81" s="49"/>
      <c r="C81" s="50"/>
      <c r="D81" s="50"/>
      <c r="E81" s="50"/>
      <c r="F81" s="51"/>
    </row>
    <row r="82" spans="1:6" ht="15" thickBot="1" x14ac:dyDescent="0.35">
      <c r="A82" s="1"/>
      <c r="B82" s="254">
        <v>-1</v>
      </c>
      <c r="C82" s="256" t="s">
        <v>89</v>
      </c>
      <c r="D82" s="46" t="s">
        <v>2</v>
      </c>
      <c r="E82" s="46"/>
      <c r="F82" s="47" t="s">
        <v>0</v>
      </c>
    </row>
    <row r="83" spans="1:6" ht="7.5" customHeight="1" x14ac:dyDescent="0.3">
      <c r="A83" s="1"/>
      <c r="B83" s="255"/>
      <c r="C83" s="257"/>
      <c r="D83" s="263">
        <f>E83</f>
        <v>0</v>
      </c>
      <c r="E83" s="212"/>
      <c r="F83" s="239"/>
    </row>
    <row r="84" spans="1:6" x14ac:dyDescent="0.3">
      <c r="A84" s="1"/>
      <c r="B84" s="80">
        <v>-0.5</v>
      </c>
      <c r="C84" s="54" t="s">
        <v>90</v>
      </c>
      <c r="D84" s="264"/>
      <c r="E84" s="200"/>
      <c r="F84" s="240"/>
    </row>
    <row r="85" spans="1:6" x14ac:dyDescent="0.3">
      <c r="A85" s="1"/>
      <c r="B85" s="80">
        <v>0</v>
      </c>
      <c r="C85" s="75" t="s">
        <v>91</v>
      </c>
      <c r="D85" s="34" t="s">
        <v>38</v>
      </c>
      <c r="E85" s="38"/>
      <c r="F85" s="35" t="s">
        <v>39</v>
      </c>
    </row>
    <row r="86" spans="1:6" x14ac:dyDescent="0.3">
      <c r="A86" s="1"/>
      <c r="B86" s="80">
        <v>0.5</v>
      </c>
      <c r="C86" s="75" t="s">
        <v>92</v>
      </c>
      <c r="D86" s="250">
        <f>E86</f>
        <v>0</v>
      </c>
      <c r="E86" s="202"/>
      <c r="F86" s="252"/>
    </row>
    <row r="87" spans="1:6" ht="15" thickBot="1" x14ac:dyDescent="0.35">
      <c r="A87" s="1"/>
      <c r="B87" s="81">
        <v>0.1</v>
      </c>
      <c r="C87" s="48" t="s">
        <v>93</v>
      </c>
      <c r="D87" s="251"/>
      <c r="E87" s="213"/>
      <c r="F87" s="253"/>
    </row>
    <row r="88" spans="1:6" ht="15" thickBot="1" x14ac:dyDescent="0.35">
      <c r="A88" s="1"/>
      <c r="B88" s="49"/>
      <c r="C88" s="50"/>
      <c r="D88" s="50"/>
      <c r="E88" s="50"/>
      <c r="F88" s="51"/>
    </row>
    <row r="89" spans="1:6" ht="15" thickBot="1" x14ac:dyDescent="0.35">
      <c r="A89" s="1"/>
      <c r="B89" s="267">
        <v>-0.5</v>
      </c>
      <c r="C89" s="245" t="s">
        <v>49</v>
      </c>
      <c r="D89" s="46" t="s">
        <v>2</v>
      </c>
      <c r="E89" s="46"/>
      <c r="F89" s="47" t="s">
        <v>0</v>
      </c>
    </row>
    <row r="90" spans="1:6" ht="7.5" customHeight="1" x14ac:dyDescent="0.3">
      <c r="A90" s="1"/>
      <c r="B90" s="268"/>
      <c r="C90" s="246"/>
      <c r="D90" s="236">
        <f>E90</f>
        <v>0</v>
      </c>
      <c r="E90" s="212"/>
      <c r="F90" s="239"/>
    </row>
    <row r="91" spans="1:6" x14ac:dyDescent="0.3">
      <c r="A91" s="1"/>
      <c r="B91" s="268"/>
      <c r="C91" s="246"/>
      <c r="D91" s="237"/>
      <c r="E91" s="200"/>
      <c r="F91" s="240"/>
    </row>
    <row r="92" spans="1:6" x14ac:dyDescent="0.3">
      <c r="A92" s="1"/>
      <c r="B92" s="268"/>
      <c r="C92" s="246"/>
      <c r="D92" s="34" t="s">
        <v>38</v>
      </c>
      <c r="E92" s="38"/>
      <c r="F92" s="35" t="s">
        <v>39</v>
      </c>
    </row>
    <row r="93" spans="1:6" x14ac:dyDescent="0.3">
      <c r="A93" s="1"/>
      <c r="B93" s="268"/>
      <c r="C93" s="246"/>
      <c r="D93" s="258">
        <f>E93</f>
        <v>0</v>
      </c>
      <c r="E93" s="202"/>
      <c r="F93" s="252"/>
    </row>
    <row r="94" spans="1:6" ht="15" thickBot="1" x14ac:dyDescent="0.35">
      <c r="A94" s="1"/>
      <c r="B94" s="269"/>
      <c r="C94" s="247"/>
      <c r="D94" s="260"/>
      <c r="E94" s="213"/>
      <c r="F94" s="253"/>
    </row>
    <row r="95" spans="1:6" x14ac:dyDescent="0.3">
      <c r="A95" s="1"/>
      <c r="B95" s="1"/>
      <c r="C95" s="1"/>
      <c r="D95" s="1"/>
      <c r="E95" s="1"/>
      <c r="F95" s="1"/>
    </row>
    <row r="96" spans="1:6" ht="15" thickBot="1" x14ac:dyDescent="0.35">
      <c r="A96" s="1"/>
      <c r="B96" s="1"/>
      <c r="C96" s="1"/>
      <c r="D96" s="1"/>
      <c r="E96" s="1"/>
      <c r="F96" s="1"/>
    </row>
    <row r="97" spans="1:6" x14ac:dyDescent="0.3">
      <c r="A97" s="1"/>
      <c r="B97" s="17" t="s">
        <v>4</v>
      </c>
      <c r="C97" s="248" t="s">
        <v>61</v>
      </c>
      <c r="D97" s="18" t="s">
        <v>2</v>
      </c>
      <c r="E97" s="18" t="s">
        <v>3</v>
      </c>
      <c r="F97" s="19"/>
    </row>
    <row r="98" spans="1:6" ht="15" thickBot="1" x14ac:dyDescent="0.35">
      <c r="A98" s="1"/>
      <c r="B98" s="20">
        <v>0.2</v>
      </c>
      <c r="C98" s="249"/>
      <c r="D98" s="21" t="str" cm="1">
        <f t="array" ref="D98">GetGrade(D74, SUM(D102,D111,D118,D125))</f>
        <v>F</v>
      </c>
      <c r="E98" s="22" t="str" cm="1">
        <f t="array" ref="E98">GetGrade(D74, SUM(D106,D114,D121,D128))</f>
        <v>F</v>
      </c>
      <c r="F98" s="23"/>
    </row>
    <row r="99" spans="1:6" ht="24" thickBot="1" x14ac:dyDescent="0.35">
      <c r="A99" s="1"/>
      <c r="B99" s="24"/>
      <c r="C99" s="25"/>
      <c r="D99" s="25"/>
      <c r="E99" s="26"/>
      <c r="F99" s="27"/>
    </row>
    <row r="100" spans="1:6" ht="15" thickBot="1" x14ac:dyDescent="0.35">
      <c r="A100" s="1"/>
      <c r="B100" s="28" t="s">
        <v>30</v>
      </c>
      <c r="C100" s="29" t="s">
        <v>29</v>
      </c>
      <c r="D100" s="30" t="s">
        <v>1</v>
      </c>
      <c r="E100" s="29"/>
      <c r="F100" s="31" t="s">
        <v>41</v>
      </c>
    </row>
    <row r="101" spans="1:6" ht="15" thickBot="1" x14ac:dyDescent="0.35">
      <c r="A101" s="1"/>
      <c r="B101" s="229" t="s">
        <v>95</v>
      </c>
      <c r="C101" s="234" t="s">
        <v>94</v>
      </c>
      <c r="D101" s="34" t="s">
        <v>2</v>
      </c>
      <c r="E101" s="34"/>
      <c r="F101" s="35" t="s">
        <v>0</v>
      </c>
    </row>
    <row r="102" spans="1:6" x14ac:dyDescent="0.3">
      <c r="A102" s="1"/>
      <c r="B102" s="230"/>
      <c r="C102" s="232"/>
      <c r="D102" s="227">
        <f>E102*$B$98</f>
        <v>0</v>
      </c>
      <c r="E102" s="212"/>
      <c r="F102" s="214"/>
    </row>
    <row r="103" spans="1:6" x14ac:dyDescent="0.3">
      <c r="A103" s="1"/>
      <c r="B103" s="262" t="s">
        <v>100</v>
      </c>
      <c r="C103" s="245" t="s">
        <v>56</v>
      </c>
      <c r="D103" s="210"/>
      <c r="E103" s="200"/>
      <c r="F103" s="204"/>
    </row>
    <row r="104" spans="1:6" ht="15" thickBot="1" x14ac:dyDescent="0.35">
      <c r="A104" s="1"/>
      <c r="B104" s="230"/>
      <c r="C104" s="232"/>
      <c r="D104" s="211"/>
      <c r="E104" s="201"/>
      <c r="F104" s="205"/>
    </row>
    <row r="105" spans="1:6" x14ac:dyDescent="0.3">
      <c r="A105" s="1"/>
      <c r="B105" s="37" t="s">
        <v>99</v>
      </c>
      <c r="C105" s="36" t="s">
        <v>57</v>
      </c>
      <c r="D105" s="34" t="s">
        <v>38</v>
      </c>
      <c r="E105" s="38"/>
      <c r="F105" s="35" t="s">
        <v>39</v>
      </c>
    </row>
    <row r="106" spans="1:6" x14ac:dyDescent="0.3">
      <c r="A106" s="1"/>
      <c r="B106" s="37" t="s">
        <v>98</v>
      </c>
      <c r="C106" s="36" t="s">
        <v>58</v>
      </c>
      <c r="D106" s="208">
        <f>E106*$B$98</f>
        <v>0</v>
      </c>
      <c r="E106" s="202"/>
      <c r="F106" s="206"/>
    </row>
    <row r="107" spans="1:6" x14ac:dyDescent="0.3">
      <c r="A107" s="1"/>
      <c r="B107" s="37" t="s">
        <v>97</v>
      </c>
      <c r="C107" s="36" t="s">
        <v>59</v>
      </c>
      <c r="D107" s="209"/>
      <c r="E107" s="203"/>
      <c r="F107" s="207"/>
    </row>
    <row r="108" spans="1:6" ht="15" thickBot="1" x14ac:dyDescent="0.35">
      <c r="A108" s="1"/>
      <c r="B108" s="39" t="s">
        <v>96</v>
      </c>
      <c r="C108" s="40" t="s">
        <v>60</v>
      </c>
      <c r="D108" s="228"/>
      <c r="E108" s="213"/>
      <c r="F108" s="215"/>
    </row>
    <row r="109" spans="1:6" ht="15" thickBot="1" x14ac:dyDescent="0.35">
      <c r="A109" s="1"/>
      <c r="B109" s="49"/>
      <c r="C109" s="50"/>
      <c r="D109" s="50"/>
      <c r="E109" s="50"/>
      <c r="F109" s="51"/>
    </row>
    <row r="110" spans="1:6" ht="15" thickBot="1" x14ac:dyDescent="0.35">
      <c r="A110" s="1"/>
      <c r="B110" s="265">
        <v>-1</v>
      </c>
      <c r="C110" s="220" t="s">
        <v>62</v>
      </c>
      <c r="D110" s="46" t="s">
        <v>2</v>
      </c>
      <c r="E110" s="46"/>
      <c r="F110" s="47" t="s">
        <v>0</v>
      </c>
    </row>
    <row r="111" spans="1:6" x14ac:dyDescent="0.3">
      <c r="A111" s="1"/>
      <c r="B111" s="266"/>
      <c r="C111" s="221"/>
      <c r="D111" s="222">
        <f>E111</f>
        <v>0</v>
      </c>
      <c r="E111" s="212"/>
      <c r="F111" s="214"/>
    </row>
    <row r="112" spans="1:6" x14ac:dyDescent="0.3">
      <c r="A112" s="1"/>
      <c r="B112" s="266"/>
      <c r="C112" s="221"/>
      <c r="D112" s="223"/>
      <c r="E112" s="200"/>
      <c r="F112" s="204"/>
    </row>
    <row r="113" spans="1:6" x14ac:dyDescent="0.3">
      <c r="A113" s="1"/>
      <c r="B113" s="80">
        <v>-0.5</v>
      </c>
      <c r="C113" s="52" t="s">
        <v>63</v>
      </c>
      <c r="D113" s="34" t="s">
        <v>38</v>
      </c>
      <c r="E113" s="38"/>
      <c r="F113" s="35" t="s">
        <v>39</v>
      </c>
    </row>
    <row r="114" spans="1:6" x14ac:dyDescent="0.3">
      <c r="A114" s="1"/>
      <c r="B114" s="80">
        <v>0</v>
      </c>
      <c r="C114" s="52" t="s">
        <v>64</v>
      </c>
      <c r="D114" s="216">
        <f>E114</f>
        <v>0</v>
      </c>
      <c r="E114" s="202"/>
      <c r="F114" s="206"/>
    </row>
    <row r="115" spans="1:6" ht="15" thickBot="1" x14ac:dyDescent="0.35">
      <c r="A115" s="1"/>
      <c r="B115" s="81">
        <v>0.5</v>
      </c>
      <c r="C115" s="48" t="s">
        <v>65</v>
      </c>
      <c r="D115" s="217"/>
      <c r="E115" s="213"/>
      <c r="F115" s="215"/>
    </row>
    <row r="116" spans="1:6" ht="15" thickBot="1" x14ac:dyDescent="0.35">
      <c r="A116" s="1"/>
      <c r="B116" s="49"/>
      <c r="C116" s="50"/>
      <c r="D116" s="50"/>
      <c r="E116" s="50"/>
      <c r="F116" s="51"/>
    </row>
    <row r="117" spans="1:6" ht="15" thickBot="1" x14ac:dyDescent="0.35">
      <c r="A117" s="1"/>
      <c r="B117" s="267">
        <v>0.5</v>
      </c>
      <c r="C117" s="245" t="s">
        <v>66</v>
      </c>
      <c r="D117" s="46" t="s">
        <v>2</v>
      </c>
      <c r="E117" s="46"/>
      <c r="F117" s="47" t="s">
        <v>0</v>
      </c>
    </row>
    <row r="118" spans="1:6" x14ac:dyDescent="0.3">
      <c r="A118" s="1"/>
      <c r="B118" s="268"/>
      <c r="C118" s="246"/>
      <c r="D118" s="222">
        <f>E118</f>
        <v>0</v>
      </c>
      <c r="E118" s="212"/>
      <c r="F118" s="214"/>
    </row>
    <row r="119" spans="1:6" x14ac:dyDescent="0.3">
      <c r="A119" s="1"/>
      <c r="B119" s="268"/>
      <c r="C119" s="246"/>
      <c r="D119" s="223"/>
      <c r="E119" s="200"/>
      <c r="F119" s="204"/>
    </row>
    <row r="120" spans="1:6" x14ac:dyDescent="0.3">
      <c r="A120" s="1"/>
      <c r="B120" s="268"/>
      <c r="C120" s="246"/>
      <c r="D120" s="34" t="s">
        <v>38</v>
      </c>
      <c r="E120" s="38"/>
      <c r="F120" s="35" t="s">
        <v>39</v>
      </c>
    </row>
    <row r="121" spans="1:6" ht="44.25" customHeight="1" x14ac:dyDescent="0.3">
      <c r="A121" s="1"/>
      <c r="B121" s="268"/>
      <c r="C121" s="246"/>
      <c r="D121" s="216">
        <f>E121</f>
        <v>0</v>
      </c>
      <c r="E121" s="202"/>
      <c r="F121" s="206"/>
    </row>
    <row r="122" spans="1:6" ht="15" thickBot="1" x14ac:dyDescent="0.35">
      <c r="A122" s="1"/>
      <c r="B122" s="269"/>
      <c r="C122" s="247"/>
      <c r="D122" s="217"/>
      <c r="E122" s="213"/>
      <c r="F122" s="215"/>
    </row>
    <row r="123" spans="1:6" ht="15" thickBot="1" x14ac:dyDescent="0.35">
      <c r="A123" s="1"/>
      <c r="B123" s="49"/>
      <c r="C123" s="50"/>
      <c r="D123" s="50"/>
      <c r="E123" s="50"/>
      <c r="F123" s="51"/>
    </row>
    <row r="124" spans="1:6" ht="15" thickBot="1" x14ac:dyDescent="0.35">
      <c r="A124" s="1"/>
      <c r="B124" s="265">
        <v>0</v>
      </c>
      <c r="C124" s="220" t="s">
        <v>67</v>
      </c>
      <c r="D124" s="46" t="s">
        <v>2</v>
      </c>
      <c r="E124" s="46"/>
      <c r="F124" s="47" t="s">
        <v>0</v>
      </c>
    </row>
    <row r="125" spans="1:6" x14ac:dyDescent="0.3">
      <c r="A125" s="1"/>
      <c r="B125" s="266"/>
      <c r="C125" s="221"/>
      <c r="D125" s="222">
        <f>E125</f>
        <v>0</v>
      </c>
      <c r="E125" s="212"/>
      <c r="F125" s="214"/>
    </row>
    <row r="126" spans="1:6" x14ac:dyDescent="0.3">
      <c r="A126" s="1"/>
      <c r="B126" s="266"/>
      <c r="C126" s="221"/>
      <c r="D126" s="223"/>
      <c r="E126" s="200"/>
      <c r="F126" s="204"/>
    </row>
    <row r="127" spans="1:6" x14ac:dyDescent="0.3">
      <c r="B127" s="266">
        <v>0.5</v>
      </c>
      <c r="C127" s="221" t="s">
        <v>68</v>
      </c>
      <c r="D127" s="34" t="s">
        <v>38</v>
      </c>
      <c r="E127" s="38"/>
      <c r="F127" s="35" t="s">
        <v>39</v>
      </c>
    </row>
    <row r="128" spans="1:6" x14ac:dyDescent="0.3">
      <c r="B128" s="266"/>
      <c r="C128" s="221"/>
      <c r="D128" s="216">
        <f>E128</f>
        <v>0</v>
      </c>
      <c r="E128" s="202"/>
      <c r="F128" s="206"/>
    </row>
    <row r="129" spans="2:6" ht="15" thickBot="1" x14ac:dyDescent="0.35">
      <c r="B129" s="81">
        <v>1</v>
      </c>
      <c r="C129" s="48" t="s">
        <v>69</v>
      </c>
      <c r="D129" s="217"/>
      <c r="E129" s="213"/>
      <c r="F129" s="215"/>
    </row>
    <row r="130" spans="2:6" x14ac:dyDescent="0.3">
      <c r="B130" s="1"/>
      <c r="C130" s="1"/>
      <c r="D130" s="1"/>
      <c r="E130" s="1"/>
      <c r="F130" s="1"/>
    </row>
    <row r="131" spans="2:6" ht="15" thickBot="1" x14ac:dyDescent="0.35">
      <c r="B131" s="1"/>
      <c r="C131" s="1"/>
      <c r="D131" s="1"/>
      <c r="E131" s="1"/>
      <c r="F131" s="1"/>
    </row>
    <row r="132" spans="2:6" x14ac:dyDescent="0.3">
      <c r="B132" s="17"/>
      <c r="C132" s="198" t="s">
        <v>70</v>
      </c>
      <c r="D132" s="18" t="s">
        <v>2</v>
      </c>
      <c r="E132" s="18" t="s">
        <v>3</v>
      </c>
      <c r="F132" s="19"/>
    </row>
    <row r="133" spans="2:6" ht="15" thickBot="1" x14ac:dyDescent="0.35">
      <c r="B133" s="20"/>
      <c r="C133" s="199"/>
      <c r="D133" s="21">
        <f>D137</f>
        <v>0</v>
      </c>
      <c r="E133" s="22">
        <f>D140</f>
        <v>0</v>
      </c>
      <c r="F133" s="23"/>
    </row>
    <row r="134" spans="2:6" ht="24" thickBot="1" x14ac:dyDescent="0.35">
      <c r="B134" s="24"/>
      <c r="C134" s="25"/>
      <c r="D134" s="25"/>
      <c r="E134" s="26"/>
      <c r="F134" s="27"/>
    </row>
    <row r="135" spans="2:6" ht="15" thickBot="1" x14ac:dyDescent="0.35">
      <c r="B135" s="28" t="s">
        <v>30</v>
      </c>
      <c r="C135" s="29" t="s">
        <v>29</v>
      </c>
      <c r="D135" s="30" t="s">
        <v>1</v>
      </c>
      <c r="E135" s="29"/>
      <c r="F135" s="31" t="s">
        <v>41</v>
      </c>
    </row>
    <row r="136" spans="2:6" ht="15" thickBot="1" x14ac:dyDescent="0.35">
      <c r="B136" s="265">
        <v>-0.5</v>
      </c>
      <c r="C136" s="220" t="s">
        <v>115</v>
      </c>
      <c r="D136" s="46" t="s">
        <v>2</v>
      </c>
      <c r="E136" s="46"/>
      <c r="F136" s="47" t="s">
        <v>0</v>
      </c>
    </row>
    <row r="137" spans="2:6" x14ac:dyDescent="0.3">
      <c r="B137" s="266"/>
      <c r="C137" s="221"/>
      <c r="D137" s="222">
        <f>E137</f>
        <v>0</v>
      </c>
      <c r="E137" s="212"/>
      <c r="F137" s="214"/>
    </row>
    <row r="138" spans="2:6" x14ac:dyDescent="0.3">
      <c r="B138" s="266"/>
      <c r="C138" s="221"/>
      <c r="D138" s="223"/>
      <c r="E138" s="200"/>
      <c r="F138" s="204"/>
    </row>
    <row r="139" spans="2:6" x14ac:dyDescent="0.3">
      <c r="B139" s="80">
        <v>-0.5</v>
      </c>
      <c r="C139" s="52" t="s">
        <v>117</v>
      </c>
      <c r="D139" s="34" t="s">
        <v>38</v>
      </c>
      <c r="E139" s="38"/>
      <c r="F139" s="35" t="s">
        <v>39</v>
      </c>
    </row>
    <row r="140" spans="2:6" ht="28.8" x14ac:dyDescent="0.3">
      <c r="B140" s="80">
        <v>-1</v>
      </c>
      <c r="C140" s="55" t="s">
        <v>83</v>
      </c>
      <c r="D140" s="216">
        <f>E140</f>
        <v>0</v>
      </c>
      <c r="E140" s="202"/>
      <c r="F140" s="206"/>
    </row>
    <row r="141" spans="2:6" ht="15" thickBot="1" x14ac:dyDescent="0.35">
      <c r="B141" s="81">
        <v>-0.5</v>
      </c>
      <c r="C141" s="48" t="s">
        <v>71</v>
      </c>
      <c r="D141" s="217"/>
      <c r="E141" s="213"/>
      <c r="F141" s="215"/>
    </row>
    <row r="142" spans="2:6" x14ac:dyDescent="0.3">
      <c r="B142" s="1"/>
      <c r="C142" s="1"/>
      <c r="D142" s="1"/>
      <c r="E142" s="1"/>
      <c r="F142" s="1"/>
    </row>
    <row r="143" spans="2:6" ht="15" thickBot="1" x14ac:dyDescent="0.35">
      <c r="B143" s="1"/>
      <c r="C143" s="1"/>
      <c r="D143" s="1"/>
      <c r="E143" s="1"/>
      <c r="F143" s="1"/>
    </row>
    <row r="144" spans="2:6" x14ac:dyDescent="0.3">
      <c r="B144" s="17"/>
      <c r="C144" s="198" t="s">
        <v>76</v>
      </c>
      <c r="D144" s="18" t="s">
        <v>2</v>
      </c>
      <c r="E144" s="18" t="s">
        <v>3</v>
      </c>
      <c r="F144" s="19"/>
    </row>
    <row r="145" spans="2:6" ht="15" thickBot="1" x14ac:dyDescent="0.35">
      <c r="B145" s="20"/>
      <c r="C145" s="199"/>
      <c r="D145" s="21">
        <f>D149</f>
        <v>0</v>
      </c>
      <c r="E145" s="22">
        <f>D156</f>
        <v>0</v>
      </c>
      <c r="F145" s="23"/>
    </row>
    <row r="146" spans="2:6" ht="24" thickBot="1" x14ac:dyDescent="0.35">
      <c r="B146" s="24"/>
      <c r="C146" s="25"/>
      <c r="D146" s="25"/>
      <c r="E146" s="26"/>
      <c r="F146" s="27"/>
    </row>
    <row r="147" spans="2:6" ht="15" thickBot="1" x14ac:dyDescent="0.35">
      <c r="B147" s="56" t="s">
        <v>30</v>
      </c>
      <c r="C147" s="38" t="s">
        <v>29</v>
      </c>
      <c r="D147" s="30" t="s">
        <v>1</v>
      </c>
      <c r="E147" s="29"/>
      <c r="F147" s="31" t="s">
        <v>41</v>
      </c>
    </row>
    <row r="148" spans="2:6" ht="15" thickBot="1" x14ac:dyDescent="0.35">
      <c r="B148" s="266">
        <v>-1</v>
      </c>
      <c r="C148" s="225" t="s">
        <v>72</v>
      </c>
      <c r="D148" s="46" t="s">
        <v>2</v>
      </c>
      <c r="E148" s="46"/>
      <c r="F148" s="47" t="s">
        <v>0</v>
      </c>
    </row>
    <row r="149" spans="2:6" x14ac:dyDescent="0.3">
      <c r="B149" s="266"/>
      <c r="C149" s="225"/>
      <c r="D149" s="227">
        <f>E149</f>
        <v>0</v>
      </c>
      <c r="E149" s="273"/>
      <c r="F149" s="275"/>
    </row>
    <row r="150" spans="2:6" x14ac:dyDescent="0.3">
      <c r="B150" s="80">
        <v>-0.5</v>
      </c>
      <c r="C150" s="57" t="s">
        <v>73</v>
      </c>
      <c r="D150" s="210"/>
      <c r="E150" s="274"/>
      <c r="F150" s="276"/>
    </row>
    <row r="151" spans="2:6" x14ac:dyDescent="0.3">
      <c r="B151" s="80">
        <v>-1</v>
      </c>
      <c r="C151" s="4" t="s">
        <v>74</v>
      </c>
      <c r="D151" s="210"/>
      <c r="E151" s="274"/>
      <c r="F151" s="276"/>
    </row>
    <row r="152" spans="2:6" ht="28.8" x14ac:dyDescent="0.3">
      <c r="B152" s="80">
        <v>-0.5</v>
      </c>
      <c r="C152" s="58" t="s">
        <v>75</v>
      </c>
      <c r="D152" s="210"/>
      <c r="E152" s="274"/>
      <c r="F152" s="276"/>
    </row>
    <row r="153" spans="2:6" x14ac:dyDescent="0.3">
      <c r="B153" s="80">
        <v>-0.5</v>
      </c>
      <c r="C153" s="4" t="s">
        <v>116</v>
      </c>
      <c r="D153" s="210"/>
      <c r="E153" s="274"/>
      <c r="F153" s="276"/>
    </row>
    <row r="154" spans="2:6" ht="43.2" x14ac:dyDescent="0.3">
      <c r="B154" s="80">
        <v>-0.5</v>
      </c>
      <c r="C154" s="59" t="s">
        <v>121</v>
      </c>
      <c r="D154" s="210"/>
      <c r="E154" s="274"/>
      <c r="F154" s="276"/>
    </row>
    <row r="155" spans="2:6" ht="72" x14ac:dyDescent="0.3">
      <c r="B155" s="80">
        <v>-0.5</v>
      </c>
      <c r="C155" s="59" t="s">
        <v>119</v>
      </c>
      <c r="D155" s="34" t="s">
        <v>38</v>
      </c>
      <c r="E155" s="38"/>
      <c r="F155" s="35" t="s">
        <v>39</v>
      </c>
    </row>
    <row r="156" spans="2:6" ht="216" x14ac:dyDescent="0.3">
      <c r="B156" s="80">
        <v>-0.5</v>
      </c>
      <c r="C156" s="59" t="s">
        <v>118</v>
      </c>
      <c r="D156" s="258">
        <v>0</v>
      </c>
      <c r="E156" s="202"/>
      <c r="F156" s="270"/>
    </row>
    <row r="157" spans="2:6" ht="57.6" x14ac:dyDescent="0.3">
      <c r="B157" s="80">
        <v>-0.5</v>
      </c>
      <c r="C157" s="58" t="s">
        <v>77</v>
      </c>
      <c r="D157" s="259"/>
      <c r="E157" s="203"/>
      <c r="F157" s="271"/>
    </row>
    <row r="158" spans="2:6" ht="28.8" x14ac:dyDescent="0.3">
      <c r="B158" s="82">
        <v>-0.5</v>
      </c>
      <c r="C158" s="60" t="s">
        <v>120</v>
      </c>
      <c r="D158" s="259"/>
      <c r="E158" s="203"/>
      <c r="F158" s="271"/>
    </row>
    <row r="159" spans="2:6" ht="87" thickBot="1" x14ac:dyDescent="0.35">
      <c r="B159" s="81">
        <v>-0.5</v>
      </c>
      <c r="C159" s="61" t="s">
        <v>78</v>
      </c>
      <c r="D159" s="260"/>
      <c r="E159" s="213"/>
      <c r="F159" s="272"/>
    </row>
  </sheetData>
  <sheetProtection selectLockedCells="1"/>
  <mergeCells count="154">
    <mergeCell ref="D156:D159"/>
    <mergeCell ref="E156:E159"/>
    <mergeCell ref="F156:F159"/>
    <mergeCell ref="D149:D154"/>
    <mergeCell ref="E149:E154"/>
    <mergeCell ref="F149:F154"/>
    <mergeCell ref="D140:D141"/>
    <mergeCell ref="E140:E141"/>
    <mergeCell ref="F140:F141"/>
    <mergeCell ref="C144:C145"/>
    <mergeCell ref="B148:B149"/>
    <mergeCell ref="C148:C149"/>
    <mergeCell ref="B127:B128"/>
    <mergeCell ref="C127:C128"/>
    <mergeCell ref="D128:D129"/>
    <mergeCell ref="E128:E129"/>
    <mergeCell ref="F128:F129"/>
    <mergeCell ref="B136:B138"/>
    <mergeCell ref="C136:C138"/>
    <mergeCell ref="D137:D138"/>
    <mergeCell ref="E137:E138"/>
    <mergeCell ref="F137:F138"/>
    <mergeCell ref="C132:C133"/>
    <mergeCell ref="B124:B126"/>
    <mergeCell ref="C124:C126"/>
    <mergeCell ref="D125:D126"/>
    <mergeCell ref="E125:E126"/>
    <mergeCell ref="F125:F126"/>
    <mergeCell ref="F121:F122"/>
    <mergeCell ref="D114:D115"/>
    <mergeCell ref="E114:E115"/>
    <mergeCell ref="F114:F115"/>
    <mergeCell ref="B117:B122"/>
    <mergeCell ref="C117:C122"/>
    <mergeCell ref="D118:D119"/>
    <mergeCell ref="E118:E119"/>
    <mergeCell ref="F118:F119"/>
    <mergeCell ref="D121:D122"/>
    <mergeCell ref="E121:E122"/>
    <mergeCell ref="D106:D108"/>
    <mergeCell ref="E106:E108"/>
    <mergeCell ref="F106:F108"/>
    <mergeCell ref="B110:B112"/>
    <mergeCell ref="C110:C112"/>
    <mergeCell ref="D111:D112"/>
    <mergeCell ref="E111:E112"/>
    <mergeCell ref="F111:F112"/>
    <mergeCell ref="F93:F94"/>
    <mergeCell ref="C97:C98"/>
    <mergeCell ref="B101:B102"/>
    <mergeCell ref="C101:C102"/>
    <mergeCell ref="D102:D104"/>
    <mergeCell ref="E102:E104"/>
    <mergeCell ref="F102:F104"/>
    <mergeCell ref="B103:B104"/>
    <mergeCell ref="C103:C104"/>
    <mergeCell ref="B89:B94"/>
    <mergeCell ref="C89:C94"/>
    <mergeCell ref="D90:D91"/>
    <mergeCell ref="E90:E91"/>
    <mergeCell ref="F90:F91"/>
    <mergeCell ref="D93:D94"/>
    <mergeCell ref="E93:E94"/>
    <mergeCell ref="D86:D87"/>
    <mergeCell ref="E86:E87"/>
    <mergeCell ref="F86:F87"/>
    <mergeCell ref="B82:B83"/>
    <mergeCell ref="C82:C83"/>
    <mergeCell ref="D78:D80"/>
    <mergeCell ref="E78:E80"/>
    <mergeCell ref="F78:F80"/>
    <mergeCell ref="B75:B76"/>
    <mergeCell ref="C75:C76"/>
    <mergeCell ref="D83:D84"/>
    <mergeCell ref="E83:E84"/>
    <mergeCell ref="F83:F84"/>
    <mergeCell ref="B73:B74"/>
    <mergeCell ref="C73:C74"/>
    <mergeCell ref="D74:D76"/>
    <mergeCell ref="E74:E76"/>
    <mergeCell ref="F74:F76"/>
    <mergeCell ref="B61:B66"/>
    <mergeCell ref="C61:C66"/>
    <mergeCell ref="C69:C70"/>
    <mergeCell ref="D62:D63"/>
    <mergeCell ref="E62:E63"/>
    <mergeCell ref="F62:F63"/>
    <mergeCell ref="D65:D66"/>
    <mergeCell ref="E65:E66"/>
    <mergeCell ref="F65:F66"/>
    <mergeCell ref="B54:B56"/>
    <mergeCell ref="C54:C56"/>
    <mergeCell ref="D55:D56"/>
    <mergeCell ref="E55:E56"/>
    <mergeCell ref="F55:F56"/>
    <mergeCell ref="B57:B59"/>
    <mergeCell ref="C57:C59"/>
    <mergeCell ref="D58:D59"/>
    <mergeCell ref="E58:E59"/>
    <mergeCell ref="F58:F59"/>
    <mergeCell ref="B47:B49"/>
    <mergeCell ref="C47:C49"/>
    <mergeCell ref="D48:D49"/>
    <mergeCell ref="E48:E49"/>
    <mergeCell ref="F48:F49"/>
    <mergeCell ref="D51:D52"/>
    <mergeCell ref="E51:E52"/>
    <mergeCell ref="F51:F52"/>
    <mergeCell ref="E40:E41"/>
    <mergeCell ref="F40:F41"/>
    <mergeCell ref="D43:D45"/>
    <mergeCell ref="E43:E45"/>
    <mergeCell ref="F43:F45"/>
    <mergeCell ref="B39:B40"/>
    <mergeCell ref="C39:C40"/>
    <mergeCell ref="B27:B29"/>
    <mergeCell ref="B30:B32"/>
    <mergeCell ref="C27:C29"/>
    <mergeCell ref="C30:C32"/>
    <mergeCell ref="C35:C36"/>
    <mergeCell ref="D40:D41"/>
    <mergeCell ref="D28:D29"/>
    <mergeCell ref="E28:E29"/>
    <mergeCell ref="F28:F29"/>
    <mergeCell ref="D31:D32"/>
    <mergeCell ref="E31:E32"/>
    <mergeCell ref="F31:F32"/>
    <mergeCell ref="B20:B21"/>
    <mergeCell ref="B22:B23"/>
    <mergeCell ref="C20:C21"/>
    <mergeCell ref="C22:C23"/>
    <mergeCell ref="C13:C15"/>
    <mergeCell ref="C16:C17"/>
    <mergeCell ref="B13:B15"/>
    <mergeCell ref="B16:B17"/>
    <mergeCell ref="D21:D22"/>
    <mergeCell ref="D14:D15"/>
    <mergeCell ref="D17:D18"/>
    <mergeCell ref="C2:C3"/>
    <mergeCell ref="E7:E8"/>
    <mergeCell ref="E10:E11"/>
    <mergeCell ref="F7:F8"/>
    <mergeCell ref="F10:F11"/>
    <mergeCell ref="D10:D11"/>
    <mergeCell ref="D7:D8"/>
    <mergeCell ref="E21:E22"/>
    <mergeCell ref="E24:E25"/>
    <mergeCell ref="F21:F22"/>
    <mergeCell ref="F24:F25"/>
    <mergeCell ref="D24:D25"/>
    <mergeCell ref="E14:E15"/>
    <mergeCell ref="F14:F15"/>
    <mergeCell ref="E17:E18"/>
    <mergeCell ref="F17:F18"/>
  </mergeCells>
  <pageMargins left="0.7" right="0.7" top="0.75" bottom="0.75" header="0.3" footer="0.3"/>
  <pageSetup orientation="portrait" horizont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L24"/>
  <sheetViews>
    <sheetView topLeftCell="A7" workbookViewId="0">
      <selection activeCell="E23" sqref="E23:L23"/>
    </sheetView>
  </sheetViews>
  <sheetFormatPr defaultRowHeight="14.4" x14ac:dyDescent="0.3"/>
  <cols>
    <col min="1" max="1" width="0.77734375" customWidth="1"/>
    <col min="4" max="4" width="13.21875" customWidth="1"/>
    <col min="12" max="12" width="63.77734375" customWidth="1"/>
  </cols>
  <sheetData>
    <row r="1" spans="1:12" ht="3.75" customHeight="1" thickBot="1" x14ac:dyDescent="0.35">
      <c r="A1" s="1"/>
      <c r="B1" s="1"/>
      <c r="C1" s="1"/>
      <c r="D1" s="1"/>
      <c r="E1" s="1"/>
      <c r="F1" s="1"/>
      <c r="G1" s="1"/>
      <c r="H1" s="1"/>
      <c r="I1" s="1"/>
      <c r="J1" s="1"/>
      <c r="K1" s="1"/>
      <c r="L1" s="1"/>
    </row>
    <row r="2" spans="1:12" ht="21.6" thickBot="1" x14ac:dyDescent="0.45">
      <c r="A2" s="1"/>
      <c r="B2" s="296" t="s">
        <v>129</v>
      </c>
      <c r="C2" s="297"/>
      <c r="D2" s="297"/>
      <c r="E2" s="297"/>
      <c r="F2" s="297"/>
      <c r="G2" s="297"/>
      <c r="H2" s="297"/>
      <c r="I2" s="297"/>
      <c r="J2" s="297"/>
      <c r="K2" s="297"/>
      <c r="L2" s="298"/>
    </row>
    <row r="3" spans="1:12" ht="15" thickBot="1" x14ac:dyDescent="0.35">
      <c r="A3" s="1"/>
      <c r="B3" s="1"/>
      <c r="C3" s="1"/>
      <c r="D3" s="1"/>
      <c r="E3" s="1"/>
      <c r="F3" s="1"/>
      <c r="G3" s="1"/>
      <c r="H3" s="1"/>
      <c r="I3" s="1"/>
      <c r="J3" s="1"/>
      <c r="K3" s="1"/>
      <c r="L3" s="1"/>
    </row>
    <row r="4" spans="1:12" ht="15" thickBot="1" x14ac:dyDescent="0.35">
      <c r="A4" s="1"/>
      <c r="B4" s="299" t="s">
        <v>18</v>
      </c>
      <c r="C4" s="300"/>
      <c r="D4" s="300"/>
      <c r="E4" s="300"/>
      <c r="F4" s="300"/>
      <c r="G4" s="300"/>
      <c r="H4" s="300"/>
      <c r="I4" s="300"/>
      <c r="J4" s="300"/>
      <c r="K4" s="300"/>
      <c r="L4" s="301"/>
    </row>
    <row r="5" spans="1:12" x14ac:dyDescent="0.3">
      <c r="A5" s="1"/>
      <c r="B5" s="302" t="s">
        <v>19</v>
      </c>
      <c r="C5" s="235"/>
      <c r="D5" s="235"/>
      <c r="E5" s="235"/>
      <c r="F5" s="235"/>
      <c r="G5" s="235"/>
      <c r="H5" s="235"/>
      <c r="I5" s="235"/>
      <c r="J5" s="235"/>
      <c r="K5" s="235"/>
      <c r="L5" s="303"/>
    </row>
    <row r="6" spans="1:12" x14ac:dyDescent="0.3">
      <c r="A6" s="1"/>
      <c r="B6" s="304"/>
      <c r="C6" s="233"/>
      <c r="D6" s="233"/>
      <c r="E6" s="233"/>
      <c r="F6" s="233"/>
      <c r="G6" s="233"/>
      <c r="H6" s="233"/>
      <c r="I6" s="233"/>
      <c r="J6" s="233"/>
      <c r="K6" s="233"/>
      <c r="L6" s="305"/>
    </row>
    <row r="7" spans="1:12" x14ac:dyDescent="0.3">
      <c r="A7" s="1"/>
      <c r="B7" s="304"/>
      <c r="C7" s="233"/>
      <c r="D7" s="233"/>
      <c r="E7" s="233"/>
      <c r="F7" s="233"/>
      <c r="G7" s="233"/>
      <c r="H7" s="233"/>
      <c r="I7" s="233"/>
      <c r="J7" s="233"/>
      <c r="K7" s="233"/>
      <c r="L7" s="305"/>
    </row>
    <row r="8" spans="1:12" x14ac:dyDescent="0.3">
      <c r="A8" s="1"/>
      <c r="B8" s="304"/>
      <c r="C8" s="233"/>
      <c r="D8" s="233"/>
      <c r="E8" s="233"/>
      <c r="F8" s="233"/>
      <c r="G8" s="233"/>
      <c r="H8" s="233"/>
      <c r="I8" s="233"/>
      <c r="J8" s="233"/>
      <c r="K8" s="233"/>
      <c r="L8" s="305"/>
    </row>
    <row r="9" spans="1:12" x14ac:dyDescent="0.3">
      <c r="A9" s="1"/>
      <c r="B9" s="304" t="s">
        <v>122</v>
      </c>
      <c r="C9" s="225"/>
      <c r="D9" s="225"/>
      <c r="E9" s="225"/>
      <c r="F9" s="225"/>
      <c r="G9" s="225"/>
      <c r="H9" s="225"/>
      <c r="I9" s="225"/>
      <c r="J9" s="225"/>
      <c r="K9" s="225"/>
      <c r="L9" s="221"/>
    </row>
    <row r="10" spans="1:12" x14ac:dyDescent="0.3">
      <c r="A10" s="1"/>
      <c r="B10" s="306"/>
      <c r="C10" s="225"/>
      <c r="D10" s="225"/>
      <c r="E10" s="225"/>
      <c r="F10" s="225"/>
      <c r="G10" s="225"/>
      <c r="H10" s="225"/>
      <c r="I10" s="225"/>
      <c r="J10" s="225"/>
      <c r="K10" s="225"/>
      <c r="L10" s="221"/>
    </row>
    <row r="11" spans="1:12" x14ac:dyDescent="0.3">
      <c r="A11" s="1"/>
      <c r="B11" s="306"/>
      <c r="C11" s="225"/>
      <c r="D11" s="225"/>
      <c r="E11" s="225"/>
      <c r="F11" s="225"/>
      <c r="G11" s="225"/>
      <c r="H11" s="225"/>
      <c r="I11" s="225"/>
      <c r="J11" s="225"/>
      <c r="K11" s="225"/>
      <c r="L11" s="221"/>
    </row>
    <row r="12" spans="1:12" x14ac:dyDescent="0.3">
      <c r="A12" s="1"/>
      <c r="B12" s="306"/>
      <c r="C12" s="225"/>
      <c r="D12" s="225"/>
      <c r="E12" s="225"/>
      <c r="F12" s="225"/>
      <c r="G12" s="225"/>
      <c r="H12" s="225"/>
      <c r="I12" s="225"/>
      <c r="J12" s="225"/>
      <c r="K12" s="225"/>
      <c r="L12" s="221"/>
    </row>
    <row r="13" spans="1:12" x14ac:dyDescent="0.3">
      <c r="A13" s="1"/>
      <c r="B13" s="307" t="s">
        <v>123</v>
      </c>
      <c r="C13" s="279"/>
      <c r="D13" s="279"/>
      <c r="E13" s="279"/>
      <c r="F13" s="279"/>
      <c r="G13" s="279"/>
      <c r="H13" s="279"/>
      <c r="I13" s="279"/>
      <c r="J13" s="279"/>
      <c r="K13" s="279"/>
      <c r="L13" s="280"/>
    </row>
    <row r="14" spans="1:12" x14ac:dyDescent="0.3">
      <c r="A14" s="1"/>
      <c r="B14" s="307"/>
      <c r="C14" s="279"/>
      <c r="D14" s="279"/>
      <c r="E14" s="279"/>
      <c r="F14" s="279"/>
      <c r="G14" s="279"/>
      <c r="H14" s="279"/>
      <c r="I14" s="279"/>
      <c r="J14" s="279"/>
      <c r="K14" s="279"/>
      <c r="L14" s="280"/>
    </row>
    <row r="15" spans="1:12" x14ac:dyDescent="0.3">
      <c r="A15" s="1"/>
      <c r="B15" s="307"/>
      <c r="C15" s="279"/>
      <c r="D15" s="279"/>
      <c r="E15" s="279"/>
      <c r="F15" s="279"/>
      <c r="G15" s="279"/>
      <c r="H15" s="279"/>
      <c r="I15" s="279"/>
      <c r="J15" s="279"/>
      <c r="K15" s="279"/>
      <c r="L15" s="280"/>
    </row>
    <row r="16" spans="1:12" ht="3" customHeight="1" thickBot="1" x14ac:dyDescent="0.35">
      <c r="A16" s="1"/>
      <c r="B16" s="308"/>
      <c r="C16" s="283"/>
      <c r="D16" s="283"/>
      <c r="E16" s="283"/>
      <c r="F16" s="283"/>
      <c r="G16" s="283"/>
      <c r="H16" s="283"/>
      <c r="I16" s="283"/>
      <c r="J16" s="283"/>
      <c r="K16" s="283"/>
      <c r="L16" s="284"/>
    </row>
    <row r="17" spans="1:12" ht="15" thickBot="1" x14ac:dyDescent="0.35">
      <c r="A17" s="1"/>
      <c r="B17" s="1"/>
      <c r="C17" s="1"/>
      <c r="D17" s="1"/>
      <c r="E17" s="1"/>
      <c r="F17" s="1"/>
      <c r="G17" s="1"/>
      <c r="H17" s="1"/>
      <c r="I17" s="1"/>
      <c r="J17" s="1"/>
      <c r="K17" s="1"/>
      <c r="L17" s="1"/>
    </row>
    <row r="18" spans="1:12" ht="15" thickBot="1" x14ac:dyDescent="0.35">
      <c r="A18" s="1"/>
      <c r="B18" s="293" t="s">
        <v>84</v>
      </c>
      <c r="C18" s="294"/>
      <c r="D18" s="294"/>
      <c r="E18" s="294"/>
      <c r="F18" s="294"/>
      <c r="G18" s="294"/>
      <c r="H18" s="294"/>
      <c r="I18" s="294"/>
      <c r="J18" s="294"/>
      <c r="K18" s="294"/>
      <c r="L18" s="295"/>
    </row>
    <row r="19" spans="1:12" ht="15" thickBot="1" x14ac:dyDescent="0.35">
      <c r="A19" s="1"/>
      <c r="B19" s="286" t="s">
        <v>20</v>
      </c>
      <c r="C19" s="287"/>
      <c r="D19" s="287"/>
      <c r="E19" s="287" t="s">
        <v>15</v>
      </c>
      <c r="F19" s="287"/>
      <c r="G19" s="287"/>
      <c r="H19" s="287"/>
      <c r="I19" s="287"/>
      <c r="J19" s="287"/>
      <c r="K19" s="287"/>
      <c r="L19" s="288"/>
    </row>
    <row r="20" spans="1:12" ht="108" customHeight="1" x14ac:dyDescent="0.3">
      <c r="A20" s="1"/>
      <c r="B20" s="289" t="s">
        <v>21</v>
      </c>
      <c r="C20" s="290"/>
      <c r="D20" s="290"/>
      <c r="E20" s="291" t="s">
        <v>128</v>
      </c>
      <c r="F20" s="291"/>
      <c r="G20" s="291"/>
      <c r="H20" s="291"/>
      <c r="I20" s="291"/>
      <c r="J20" s="291"/>
      <c r="K20" s="291"/>
      <c r="L20" s="292"/>
    </row>
    <row r="21" spans="1:12" ht="62.25" customHeight="1" x14ac:dyDescent="0.3">
      <c r="A21" s="1"/>
      <c r="B21" s="277" t="s">
        <v>22</v>
      </c>
      <c r="C21" s="278"/>
      <c r="D21" s="278"/>
      <c r="E21" s="279" t="s">
        <v>27</v>
      </c>
      <c r="F21" s="279"/>
      <c r="G21" s="279"/>
      <c r="H21" s="279"/>
      <c r="I21" s="279"/>
      <c r="J21" s="279"/>
      <c r="K21" s="279"/>
      <c r="L21" s="280"/>
    </row>
    <row r="22" spans="1:12" ht="17.25" customHeight="1" x14ac:dyDescent="0.3">
      <c r="A22" s="1"/>
      <c r="B22" s="277" t="s">
        <v>124</v>
      </c>
      <c r="C22" s="278"/>
      <c r="D22" s="278"/>
      <c r="E22" s="279" t="s">
        <v>126</v>
      </c>
      <c r="F22" s="279"/>
      <c r="G22" s="279"/>
      <c r="H22" s="279"/>
      <c r="I22" s="279"/>
      <c r="J22" s="279"/>
      <c r="K22" s="279"/>
      <c r="L22" s="280"/>
    </row>
    <row r="23" spans="1:12" ht="79.5" customHeight="1" thickBot="1" x14ac:dyDescent="0.35">
      <c r="A23" s="1"/>
      <c r="B23" s="281" t="s">
        <v>125</v>
      </c>
      <c r="C23" s="282"/>
      <c r="D23" s="282"/>
      <c r="E23" s="283" t="s">
        <v>127</v>
      </c>
      <c r="F23" s="283"/>
      <c r="G23" s="283"/>
      <c r="H23" s="283"/>
      <c r="I23" s="283"/>
      <c r="J23" s="283"/>
      <c r="K23" s="283"/>
      <c r="L23" s="284"/>
    </row>
    <row r="24" spans="1:12" ht="15" thickBot="1" x14ac:dyDescent="0.35">
      <c r="B24" s="281" t="s">
        <v>132</v>
      </c>
      <c r="C24" s="282"/>
      <c r="D24" s="282"/>
      <c r="E24" s="285" t="s">
        <v>133</v>
      </c>
      <c r="F24" s="285"/>
      <c r="G24" s="285"/>
      <c r="H24" s="285"/>
      <c r="I24" s="285"/>
      <c r="J24" s="285"/>
      <c r="K24" s="285"/>
      <c r="L24" s="285"/>
    </row>
  </sheetData>
  <sheetProtection selectLockedCells="1"/>
  <mergeCells count="18">
    <mergeCell ref="B18:L18"/>
    <mergeCell ref="B2:L2"/>
    <mergeCell ref="B4:L4"/>
    <mergeCell ref="B5:L8"/>
    <mergeCell ref="B9:L12"/>
    <mergeCell ref="B13:L16"/>
    <mergeCell ref="B19:D19"/>
    <mergeCell ref="E19:L19"/>
    <mergeCell ref="B20:D20"/>
    <mergeCell ref="E20:L20"/>
    <mergeCell ref="B21:D21"/>
    <mergeCell ref="E21:L21"/>
    <mergeCell ref="B22:D22"/>
    <mergeCell ref="E22:L22"/>
    <mergeCell ref="B23:D23"/>
    <mergeCell ref="E23:L23"/>
    <mergeCell ref="B24:D24"/>
    <mergeCell ref="E24:L24"/>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Product Information</vt:lpstr>
      <vt:lpstr>Rubric</vt:lpstr>
      <vt:lpstr>Submission Guidelines</vt:lpstr>
    </vt:vector>
  </TitlesOfParts>
  <Company>DigiPen Institute of Technology Singapore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 ASTUDILLO FAGUNDO</dc:creator>
  <cp:lastModifiedBy>Bryan</cp:lastModifiedBy>
  <dcterms:created xsi:type="dcterms:W3CDTF">2016-11-30T02:45:37Z</dcterms:created>
  <dcterms:modified xsi:type="dcterms:W3CDTF">2020-12-04T10:08:58Z</dcterms:modified>
</cp:coreProperties>
</file>